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5"/>
    <sheet state="visible" name="Calculations As per GA Data" sheetId="2" r:id="rId6"/>
    <sheet state="visible" name="Sheet9" sheetId="3" r:id="rId7"/>
    <sheet state="visible" name="Google analytics" sheetId="4" r:id="rId8"/>
    <sheet state="visible" name="Data Analytics rawData" sheetId="5" r:id="rId9"/>
    <sheet state="visible" name="Easy view data" sheetId="6" r:id="rId10"/>
    <sheet state="visible" name="Discount calculation" sheetId="7" r:id="rId11"/>
  </sheets>
  <definedNames>
    <definedName hidden="1" localSheetId="0" name="_xlnm._FilterDatabase">Final!$A$1:$W$106</definedName>
    <definedName hidden="1" localSheetId="3" name="_xlnm._FilterDatabase">'Google analytics'!$A$1:$F$116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tc={08ff5588-f518-4737-8333-ff66aea36a19}</author>
  </authors>
  <commentList>
    <comment authorId="0" xr:uid="{08ff5588-f518-4737-8333-ff66aea36a19}" ref="E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Red means we are waiting for it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">
      <text>
        <t xml:space="preserve">Other Miscellaneous is based on 10% of Cost of Materials in the Revised 15.02.25
</t>
      </text>
    </comment>
  </commentList>
</comments>
</file>

<file path=xl/sharedStrings.xml><?xml version="1.0" encoding="utf-8"?>
<sst xmlns="http://schemas.openxmlformats.org/spreadsheetml/2006/main" count="1858" uniqueCount="714">
  <si>
    <t>Product Name</t>
  </si>
  <si>
    <t>Category</t>
  </si>
  <si>
    <t>3 month revenue</t>
  </si>
  <si>
    <t>MRP Including GST</t>
  </si>
  <si>
    <t>MRP without GST</t>
  </si>
  <si>
    <t>Returns</t>
  </si>
  <si>
    <t>Discounts</t>
  </si>
  <si>
    <t>Net Revenue</t>
  </si>
  <si>
    <t>Cost of Material</t>
  </si>
  <si>
    <t>Gross margin</t>
  </si>
  <si>
    <t>Packaging Secondary</t>
  </si>
  <si>
    <t>Razorpay Deduction</t>
  </si>
  <si>
    <t>Shipping to Customer</t>
  </si>
  <si>
    <t>COD Costs</t>
  </si>
  <si>
    <t>CM 1</t>
  </si>
  <si>
    <t>Marketing Cost</t>
  </si>
  <si>
    <t>Units sold</t>
  </si>
  <si>
    <t>CM 2</t>
  </si>
  <si>
    <t>CM 2 %</t>
  </si>
  <si>
    <t>Overheads</t>
  </si>
  <si>
    <t>EBIDTA</t>
  </si>
  <si>
    <t>EBIDTA %</t>
  </si>
  <si>
    <t>magic paint dust</t>
  </si>
  <si>
    <t>Magic Paint Dust – Baby’s First Painting Kit</t>
  </si>
  <si>
    <t>Magic paint dust</t>
  </si>
  <si>
    <t>Playdough</t>
  </si>
  <si>
    <t>dabble Sensory Playdough</t>
  </si>
  <si>
    <t>FP8+CB</t>
  </si>
  <si>
    <t>Dabble Finger Painting Fun Pack</t>
  </si>
  <si>
    <t>Combo</t>
  </si>
  <si>
    <t>Canvas Kit</t>
  </si>
  <si>
    <t>Babyâ€™s first handprint and footprint kit</t>
  </si>
  <si>
    <t>SFP</t>
  </si>
  <si>
    <t>Mini Starter Finger Painting Fun Pack</t>
  </si>
  <si>
    <t>SFP+JB</t>
  </si>
  <si>
    <t>Babyâ€™s Starter Painting + Jumbo Brush Combo Kit</t>
  </si>
  <si>
    <t>B3</t>
  </si>
  <si>
    <t>Dabble Playart Chunkies</t>
  </si>
  <si>
    <t>Caryons</t>
  </si>
  <si>
    <t>FP8, B8, CB</t>
  </si>
  <si>
    <t>Little Artist Combo Kit</t>
  </si>
  <si>
    <t>SFP+CB</t>
  </si>
  <si>
    <t>Dabble Starter Painting + Chubby Brush Combo Kit</t>
  </si>
  <si>
    <t>FP3</t>
  </si>
  <si>
    <t>Dabble Finger Paints For Toddlers</t>
  </si>
  <si>
    <t>AR</t>
  </si>
  <si>
    <t>Dabble Art Roll</t>
  </si>
  <si>
    <t>magic paint dust+jb</t>
  </si>
  <si>
    <t>Magic Paint Dust + Jumbo Brush Combo Kit â€“ Babyâ€™s First Painting Kit</t>
  </si>
  <si>
    <t>SJ+B8</t>
  </si>
  <si>
    <t>My First Dabble Swinginâ€™ Jungle Adventure + Crayons Combo</t>
  </si>
  <si>
    <t>FP8+AR+CB</t>
  </si>
  <si>
    <t>Masterpiece Set</t>
  </si>
  <si>
    <t>MPD+AR</t>
  </si>
  <si>
    <t>Magic Paint Dust + PlayArt Roll â€“ Babyâ€™s First Painting Kit</t>
  </si>
  <si>
    <t>B3+AR</t>
  </si>
  <si>
    <t>Baby's First Art Set</t>
  </si>
  <si>
    <t>DP</t>
  </si>
  <si>
    <t>Dabble Reusable Colouring Pages Kit</t>
  </si>
  <si>
    <t>Apron</t>
  </si>
  <si>
    <t>Dabble Painting Art Apron</t>
  </si>
  <si>
    <t>ABC Kit</t>
  </si>
  <si>
    <t>My Dabble ABC Trace &amp; Colour Kit | Multi-Sensory Alphabet Learning for Kids</t>
  </si>
  <si>
    <t>NA</t>
  </si>
  <si>
    <t>FP8</t>
  </si>
  <si>
    <t>Dabble Playart Finger Paints</t>
  </si>
  <si>
    <t>Playdough+MPD</t>
  </si>
  <si>
    <t>Imagination Spark Kit | Dabble Sensory Play Dough + Magic Paint Dust</t>
  </si>
  <si>
    <t>Bubbles</t>
  </si>
  <si>
    <t>Dabble Magic Bubbles POP n PLAY</t>
  </si>
  <si>
    <t>FP3+B3+AR</t>
  </si>
  <si>
    <t>Dabble Starter Pack | Chunkies + Finger Paints + Art Roll</t>
  </si>
  <si>
    <t>Preschool kit</t>
  </si>
  <si>
    <t>Preschool Art and Craft Kit</t>
  </si>
  <si>
    <t>SJ+SFP+CB</t>
  </si>
  <si>
    <t>My First Dabble Swinginâ€™ Jungle Adventure + Mini Starter Fun Pack + Chubby Brushes Combo</t>
  </si>
  <si>
    <t>B8</t>
  </si>
  <si>
    <t>Dabble Playart Crayons</t>
  </si>
  <si>
    <t>SR</t>
  </si>
  <si>
    <t>Dabble Sensory Rice Play Kit</t>
  </si>
  <si>
    <t>Stamp kit</t>
  </si>
  <si>
    <t>My First Shape Explorer Stamp Kit</t>
  </si>
  <si>
    <t>SR+Playdough</t>
  </si>
  <si>
    <t>Sensory Discovery Kit | Dabble Sensory Rice + Sensory Play Dough</t>
  </si>
  <si>
    <t>FP3+JB</t>
  </si>
  <si>
    <t>Toddler's First Painting Set | Finger Paints + Jumbo Brushes</t>
  </si>
  <si>
    <t>Mini SPD</t>
  </si>
  <si>
    <t>Dabble DIY Sensory Playdough Kit</t>
  </si>
  <si>
    <t>DP+Playdough</t>
  </si>
  <si>
    <t>Endless Creations Pack | Dabble Reusable Colouring Pages + Sensory Play Dough</t>
  </si>
  <si>
    <t>Playdough+AR</t>
  </si>
  <si>
    <t>Little Makerâ€™s Set | Dabble Sensory Play Dough + Painting Apron</t>
  </si>
  <si>
    <t>B8+AR</t>
  </si>
  <si>
    <t>Toddlers First Colouring Set | Playart Crayons + Art Roll</t>
  </si>
  <si>
    <t>JB</t>
  </si>
  <si>
    <t>Dabble Jumbo Paint Brush Set</t>
  </si>
  <si>
    <t>Mini Dessert Party</t>
  </si>
  <si>
    <t>Dabble Dessert Party Pretend Playdough Set</t>
  </si>
  <si>
    <t>FP3+B3</t>
  </si>
  <si>
    <t>Dabble Gift Pack | Chunkies + Finger Paints</t>
  </si>
  <si>
    <t>B3+Playdough</t>
  </si>
  <si>
    <t>Creative Wonder Set | Dabble Play Art Chunkies + Sensory Play Dough</t>
  </si>
  <si>
    <t>Canvas</t>
  </si>
  <si>
    <t>Dabble Canvas Art Board</t>
  </si>
  <si>
    <t>MPD+AR+JB</t>
  </si>
  <si>
    <t>Magic Paint Dust + Jumbo Brush Combo Kit + PlayArt Roll â€“ Babyâ€™s First Painting Kit</t>
  </si>
  <si>
    <t>Dabble Baby's First Big Colouring Pages</t>
  </si>
  <si>
    <t>SJ</t>
  </si>
  <si>
    <t>My First Dabble Swinginâ€™ Jungle Adventure | Reusable Story Card Set</t>
  </si>
  <si>
    <t>DP+B8</t>
  </si>
  <si>
    <t>Dabble Reusable Colouring Pages + Crayons Combo Kit</t>
  </si>
  <si>
    <t>FP3+AR</t>
  </si>
  <si>
    <t>Multi Sensory Painting Set</t>
  </si>
  <si>
    <t>CB</t>
  </si>
  <si>
    <t>Dabble Chubby Brushes</t>
  </si>
  <si>
    <t>DP+SFP</t>
  </si>
  <si>
    <t>Dabble Reusable Colouring Pages + Mini Finger Paints Combo Kit</t>
  </si>
  <si>
    <t>Magic Dough</t>
  </si>
  <si>
    <t>Dabble Magic Dough Lab â€” Colour Mixing STEAM Kit</t>
  </si>
  <si>
    <t>Puzzle Kit</t>
  </si>
  <si>
    <t>My First Dabble Puzzle Colouring Set - Emotions, Shapes &amp; Colours</t>
  </si>
  <si>
    <t>Dino Kit</t>
  </si>
  <si>
    <t>Dabble DINOSAUR STENCIL ART &amp; CRAFT Kit</t>
  </si>
  <si>
    <t>A1 Kit</t>
  </si>
  <si>
    <t>All In One Paint Kit</t>
  </si>
  <si>
    <t>FP8+CB+Apron</t>
  </si>
  <si>
    <t>Dabble Finger Painting Super Pack</t>
  </si>
  <si>
    <t>Unicorn Kit</t>
  </si>
  <si>
    <t>Dabble UNICORN STENCIL ART &amp; CRAFT Kit</t>
  </si>
  <si>
    <t>A1 Kit+B8</t>
  </si>
  <si>
    <t>All In One Paint Kit + Playart Crayons Combo</t>
  </si>
  <si>
    <t>India Map Kit</t>
  </si>
  <si>
    <t>My dabble India Map Art | India maps for kids learning</t>
  </si>
  <si>
    <t>SFP+Apron</t>
  </si>
  <si>
    <t>Dabble Starter Finger Painting Fun Pack + Apron ComboKit</t>
  </si>
  <si>
    <t>FP8+Canvs</t>
  </si>
  <si>
    <t>Dabble Finger Paints + Canvas Art Board</t>
  </si>
  <si>
    <t>SFP+CB+Canvas</t>
  </si>
  <si>
    <t>Dabble Playtime Prep Kit</t>
  </si>
  <si>
    <t>Activity Pack</t>
  </si>
  <si>
    <t>A-Z Alphabet Printable Activity Pack</t>
  </si>
  <si>
    <t>Glue</t>
  </si>
  <si>
    <t>Dabble Chunky Glue</t>
  </si>
  <si>
    <t>SFP+CB+Apron</t>
  </si>
  <si>
    <t>Dabble Essentials Pack</t>
  </si>
  <si>
    <t>Dino+B8</t>
  </si>
  <si>
    <t>Flip Flap Crayon Play Pack Dinosaur Themed | Activity Book with Crayons |</t>
  </si>
  <si>
    <t>SJ+SFP</t>
  </si>
  <si>
    <t>My First Dabble Swinginâ€™ Jungle Adventure + Mini Starter Fun Pack Combo</t>
  </si>
  <si>
    <t>FP3+CB</t>
  </si>
  <si>
    <t>Dabble Painting set | Finger Paints + Chubby Brushes</t>
  </si>
  <si>
    <t>FP3+Glue+AR+B3</t>
  </si>
  <si>
    <t>My First Dabble Art Set For Toddlers</t>
  </si>
  <si>
    <t>CC8+DP</t>
  </si>
  <si>
    <t>Dabble Christmas Crayons + Dabble Pages</t>
  </si>
  <si>
    <t>SFP+AR+Apron</t>
  </si>
  <si>
    <t>Dabble Sensory Painting Kit</t>
  </si>
  <si>
    <t>Glue+FP3+B8</t>
  </si>
  <si>
    <t>Dabble 3 In 1 Easy-Clean Fun Pack</t>
  </si>
  <si>
    <t>Canvas &amp; Stand</t>
  </si>
  <si>
    <t>Canvas and Stand</t>
  </si>
  <si>
    <t>FF Unicorn + Dino</t>
  </si>
  <si>
    <t>Flip Flap Play Pack | Activity Book |</t>
  </si>
  <si>
    <t>FF Unicorn</t>
  </si>
  <si>
    <t>Dabble Flip Flap Dress-Up Your Own Unicorn &amp; Princesses | Travel-Friendly No Mess DIY Activity Set</t>
  </si>
  <si>
    <t>Numbers 1-10 Printable Activity Pack</t>
  </si>
  <si>
    <t>DP+Glue</t>
  </si>
  <si>
    <t>Dabble Reusable Colouring Pages + Glue Combo Kit</t>
  </si>
  <si>
    <t>ABC Crayons</t>
  </si>
  <si>
    <t>My Dabble ABC Trace &amp; Colour Kit | Multi-Sensory Alphabet Learning for Kids - Crayons</t>
  </si>
  <si>
    <t>FF Dino</t>
  </si>
  <si>
    <t>Dabble Flip Flap Make Your Own Dinosaur | Travel-Friendly No Mess DIY Activity Set</t>
  </si>
  <si>
    <t>P&amp;B</t>
  </si>
  <si>
    <t>Palette &amp; Brush</t>
  </si>
  <si>
    <t>Baby&amp;#39;s First Art Set</t>
  </si>
  <si>
    <t>Bake dough- (Green)</t>
  </si>
  <si>
    <t>Bakedough-Pizza Blue</t>
  </si>
  <si>
    <t>Bakedough-Pizza Green</t>
  </si>
  <si>
    <t>Dabble Baby&amp;#39;s First Big Colouring Pages</t>
  </si>
  <si>
    <t>CC8</t>
  </si>
  <si>
    <t>Dabble Christmas Crayons</t>
  </si>
  <si>
    <t>CC8+SFP</t>
  </si>
  <si>
    <t>Dabble Christmas Crayons + Mini Starter Fun Pack</t>
  </si>
  <si>
    <t>CC8+SJ</t>
  </si>
  <si>
    <t>Dabble Christmas Crayons + My Swingin Jungle</t>
  </si>
  <si>
    <t>B8+FP3+AR</t>
  </si>
  <si>
    <t>Dabble Combo Pack | Crayons + Finger Paints + Art Roll</t>
  </si>
  <si>
    <t>Dabble DINOSAUR STENCIL ART &amp; CRAFT Kit - Pack of 1</t>
  </si>
  <si>
    <t>Dabble DINOSAUR STENCIL ART &amp; CRAFT Kit - Pack of 10</t>
  </si>
  <si>
    <t>Dabble DINOSAUR STENCIL ART &amp; CRAFT Kit - Pack of 5</t>
  </si>
  <si>
    <t>Dabble DINOSAUR STENCIL ART &amp;amp; CRAFT Kit - Pack of 1</t>
  </si>
  <si>
    <t>Dabble DINOSAUR STENCIL ART &amp;amp; CRAFT Kit - Pack of 5</t>
  </si>
  <si>
    <t>Dabble Flip Flap Dress-Up Your Own Unicorn &amp; Princesses | Travel-Friendly No Mess DIY Activity Set -</t>
  </si>
  <si>
    <t>Dabble Flip Flap Make Your Own Dinosaur | Travel-Friendly No Mess DIY Activity Set - Dinosaur</t>
  </si>
  <si>
    <t>Dabble Flip Flap Make Your Own Dinosaur | Travel-Friendly No Mess DIY Activity Set - Unicorn &amp; Princ</t>
  </si>
  <si>
    <t>GC</t>
  </si>
  <si>
    <t>Dabble Gift Card</t>
  </si>
  <si>
    <t>Dabble Gift Card - â‚¹5,000.00</t>
  </si>
  <si>
    <t>Dabble Gift Card - â‚¹500.00</t>
  </si>
  <si>
    <t>FP3+B8</t>
  </si>
  <si>
    <t>Dabble Gift Set | Crayons + Finger Paints</t>
  </si>
  <si>
    <t>Dino Patch</t>
  </si>
  <si>
    <t>Dabble Iron On Patch - Dinosaur</t>
  </si>
  <si>
    <t>Unicorn Patch</t>
  </si>
  <si>
    <t>Dabble Iron On Patch - Unicorn</t>
  </si>
  <si>
    <t>Dabble UNICORN STENCIL ART &amp; CRAFT Kit - Pack of 1</t>
  </si>
  <si>
    <t>Dabble UNICORN STENCIL ART &amp; CRAFT Kit - Pack of 10</t>
  </si>
  <si>
    <t>Dabble UNICORN STENCIL ART &amp; CRAFT Kit - Pack of 5</t>
  </si>
  <si>
    <t>Digital Playbook</t>
  </si>
  <si>
    <t>Digital Playbook worth â‚¹499</t>
  </si>
  <si>
    <t>Digital Book</t>
  </si>
  <si>
    <t>FF Unicorn+B8</t>
  </si>
  <si>
    <t>Flip Flap Crayon Play Pack Unicorn &amp; Princesses Themed | Activity Book with Crayons |</t>
  </si>
  <si>
    <t>Fridge Magnet</t>
  </si>
  <si>
    <t>Fridge Magnet work â‚¹299</t>
  </si>
  <si>
    <t>ABC Caryons</t>
  </si>
  <si>
    <t>My Dabble ABC Trace &amp; Colour Kit | Multi-Sensory Alphabet Learning for Kids - Crayons - Crayons</t>
  </si>
  <si>
    <t>ABC Paint</t>
  </si>
  <si>
    <t>My Dabble ABC Trace &amp; Colour Kit | Multi-Sensory Alphabet Learning for Kids - Paints</t>
  </si>
  <si>
    <t>My Dabble ABC Trace &amp; Colour Kit | Multi-Sensory Alphabet Learning for Kids - Paints - Paints</t>
  </si>
  <si>
    <t>My Dabble ABC Trace &amp;amp; Colour Kit | Multi-Sensory Alphabet Learning for Kids - Crayons</t>
  </si>
  <si>
    <t>ABC Paints</t>
  </si>
  <si>
    <t>My Dabble ABC Trace &amp;amp; Colour Kit | Multi-Sensory Alphabet Learning for Kids - Paints</t>
  </si>
  <si>
    <t>Puzzle Set</t>
  </si>
  <si>
    <t>My First Dabble Puzzle Colouring Set - Emotions, Shapes &amp;amp; Colours</t>
  </si>
  <si>
    <t>T&amp;F+FP3</t>
  </si>
  <si>
    <t>My first dabble Touch &amp; Feel Colouring pages for toddlers + Baby's First Finger Paints</t>
  </si>
  <si>
    <t>T&amp;F</t>
  </si>
  <si>
    <t>My first dabble Touch &amp;amp; Feel Colouring pages for toddlers + Baby&amp;#39;s First Finger Paints</t>
  </si>
  <si>
    <t>Pet Paw Kit</t>
  </si>
  <si>
    <t>Pet Paw Print Keep Sake Kit</t>
  </si>
  <si>
    <t>Painting Balls</t>
  </si>
  <si>
    <t>Sensory Painting Ball (Set of 2)</t>
  </si>
  <si>
    <t>Toddler&amp;#39;s First Painting Set | Finger Paints + Jumbo Brushes</t>
  </si>
  <si>
    <t>April</t>
  </si>
  <si>
    <t>May</t>
  </si>
  <si>
    <t>June</t>
  </si>
  <si>
    <t>Shipping Charges</t>
  </si>
  <si>
    <t>1,54,407</t>
  </si>
  <si>
    <t>1,42,649</t>
  </si>
  <si>
    <t>Shipping Collection</t>
  </si>
  <si>
    <t>Cancellations/returns</t>
  </si>
  <si>
    <t>Razor pay Deductions</t>
  </si>
  <si>
    <t>OH Costs</t>
  </si>
  <si>
    <t>Google+meta</t>
  </si>
  <si>
    <t>Bik</t>
  </si>
  <si>
    <t>Total Marketing Cost</t>
  </si>
  <si>
    <t>Cost Per Session</t>
  </si>
  <si>
    <t>Total Units Sold In the Last 3 Months</t>
  </si>
  <si>
    <t>Total Sessions</t>
  </si>
  <si>
    <t>Item name</t>
  </si>
  <si>
    <t>Product</t>
  </si>
  <si>
    <t>Sessions</t>
  </si>
  <si>
    <t>Cost Spent</t>
  </si>
  <si>
    <t>Revenue</t>
  </si>
  <si>
    <t>Items viewed</t>
  </si>
  <si>
    <t>Items added to cart</t>
  </si>
  <si>
    <t>CONV</t>
  </si>
  <si>
    <t>Baby’s Starter Painting + Jumbo Brush Combo Kit</t>
  </si>
  <si>
    <t>Magic Paint Dust + Jumbo Brush Combo Kit – Baby’s First Painting Kit</t>
  </si>
  <si>
    <t>My First Dabble Swingin’ Jungle Adventure + Crayons Combo</t>
  </si>
  <si>
    <t>Magic Paint Dust + PlayArt Roll – Baby’s First Painting Kit</t>
  </si>
  <si>
    <t>My First Dabble Swingin’ Jungle Adventure + Mini Starter Fun Pack + Chubby Brushes Combo</t>
  </si>
  <si>
    <t>My First Dabble Swingin’ Jungle Adventure | Reusable Story Card Set</t>
  </si>
  <si>
    <t>Baby’s first Diwali handprint and footprint kit</t>
  </si>
  <si>
    <t>Canvas kit</t>
  </si>
  <si>
    <t>Magic Paint Dust + Jumbo Brush Combo Kit + PlayArt Roll – Baby’s First Painting Kit</t>
  </si>
  <si>
    <t>Baby’s first handprint and footprint kit</t>
  </si>
  <si>
    <t>Little Maker’s Set | Dabble Sensory Play Dough + Painting Apron</t>
  </si>
  <si>
    <t>Dabble POP n PLAY | POP n PLAY Magic Bubbles</t>
  </si>
  <si>
    <t>My First Dabble Swingin’ Jungle Adventure + Mini Starter Fun Pack Combo</t>
  </si>
  <si>
    <t>Baby's Handprint And Footprint</t>
  </si>
  <si>
    <t>Dabble Sensory Touch &amp; Feel Reusable Colouring Pages for Toddlers</t>
  </si>
  <si>
    <t>PlayArt Diwali Paint-Your-Own Rocket Kit</t>
  </si>
  <si>
    <t>Diwali Kit</t>
  </si>
  <si>
    <t>Dabble Rakhi Playart Kit | DIY Rakhi + Washable Paints + Reusable Colouring Pages</t>
  </si>
  <si>
    <t>DIY+SFP+DP</t>
  </si>
  <si>
    <t>Baby&amp;#39;s Handprint And Footprint</t>
  </si>
  <si>
    <t>Dabble DINOSAUR STENCIL ART &amp; CRAFT Kit - Pack of 1 - Pack of 1</t>
  </si>
  <si>
    <t>Dabble DINOSAUR STENCIL ART &amp;amp; CRAFT Kit - Pack of 10</t>
  </si>
  <si>
    <t>Dabble Gift Card - ₹1,000.00</t>
  </si>
  <si>
    <t>Dabble Gift Card - ₹2,500.00</t>
  </si>
  <si>
    <t>Dabble Gift Card - ₹5,000.00</t>
  </si>
  <si>
    <t>Dabble Gift Card - ₹500.00</t>
  </si>
  <si>
    <t>Dabble Sensory Rice + Playdough Combo</t>
  </si>
  <si>
    <t>Dabble Sensory Touch &amp;amp; Feel Reusable Colouring Pages for Toddlers</t>
  </si>
  <si>
    <t>Dabble UNICORN STENCIL ART &amp; CRAFT Kit - Pack of 1 - Pack of 1</t>
  </si>
  <si>
    <t>Dabble UNICORN STENCIL ART &amp;amp; CRAFT Kit - Pack of 1</t>
  </si>
  <si>
    <t>Dabble UNICORN STENCIL ART &amp;amp; CRAFT Kit - Pack of 5</t>
  </si>
  <si>
    <t>Flip Flap Crayon Play Pack Unicorn &amp;amp; Princesses Themed | Activity Book with Crayons |</t>
  </si>
  <si>
    <t>Stencil</t>
  </si>
  <si>
    <t>Stencils</t>
  </si>
  <si>
    <t>Products Name</t>
  </si>
  <si>
    <t>Apr</t>
  </si>
  <si>
    <t>Jun</t>
  </si>
  <si>
    <t>Grand Total</t>
  </si>
  <si>
    <t>₹15,089.60</t>
  </si>
  <si>
    <t>₹10,922.39</t>
  </si>
  <si>
    <t>₹9,838.09</t>
  </si>
  <si>
    <t>₹35,850.08</t>
  </si>
  <si>
    <t>₹10,277.79</t>
  </si>
  <si>
    <t>₹11,150.20</t>
  </si>
  <si>
    <t>₹11,835.25</t>
  </si>
  <si>
    <t>₹33,263.25</t>
  </si>
  <si>
    <t>₹9,699.69</t>
  </si>
  <si>
    <t>₹11,058.35</t>
  </si>
  <si>
    <t>₹9,345.18</t>
  </si>
  <si>
    <t>₹30,103.23</t>
  </si>
  <si>
    <t>₹1,160.67</t>
  </si>
  <si>
    <t>₹16,600.05</t>
  </si>
  <si>
    <t>₹9,654.80</t>
  </si>
  <si>
    <t>₹27,415.51</t>
  </si>
  <si>
    <t>₹7,590.02</t>
  </si>
  <si>
    <t>₹10,377.61</t>
  </si>
  <si>
    <t>₹5,103.18</t>
  </si>
  <si>
    <t>₹23,070.81</t>
  </si>
  <si>
    <t>Babys first handprint and footprint kit</t>
  </si>
  <si>
    <t>₹5,106.52</t>
  </si>
  <si>
    <t>₹5,870.69</t>
  </si>
  <si>
    <t>₹8,659.37</t>
  </si>
  <si>
    <t>₹19,636.58</t>
  </si>
  <si>
    <t>Babys Starter Painting + Jumbo Brush Combo Kit</t>
  </si>
  <si>
    <t>₹2,899.19</t>
  </si>
  <si>
    <t>₹5,482.37</t>
  </si>
  <si>
    <t>₹5,699.44</t>
  </si>
  <si>
    <t>₹14,081.00</t>
  </si>
  <si>
    <t>₹4,069.51</t>
  </si>
  <si>
    <t>₹5,478.88</t>
  </si>
  <si>
    <t>₹3,274.42</t>
  </si>
  <si>
    <t>₹12,822.82</t>
  </si>
  <si>
    <t>₹4,285.90</t>
  </si>
  <si>
    <t>₹3,898.73</t>
  </si>
  <si>
    <t>₹4,264.85</t>
  </si>
  <si>
    <t>₹12,449.49</t>
  </si>
  <si>
    <t>₹2,344.89</t>
  </si>
  <si>
    <t>₹5,837.72</t>
  </si>
  <si>
    <t>₹3,736.06</t>
  </si>
  <si>
    <t>₹11,918.68</t>
  </si>
  <si>
    <t>Dabble Baby's First Art Set | Learning &amp;amp; Development Friendly Combo Pack</t>
  </si>
  <si>
    <t>₹3,946.53</t>
  </si>
  <si>
    <t>₹4,322.09</t>
  </si>
  <si>
    <t>₹3,247.21</t>
  </si>
  <si>
    <t>₹11,515.82</t>
  </si>
  <si>
    <t>₹3,327.82</t>
  </si>
  <si>
    <t>₹3,675.98</t>
  </si>
  <si>
    <t>₹3,907.77</t>
  </si>
  <si>
    <t>₹10,911.56</t>
  </si>
  <si>
    <t>₹3,308.18</t>
  </si>
  <si>
    <t>₹5,768.12</t>
  </si>
  <si>
    <t>₹1,376.94</t>
  </si>
  <si>
    <t>₹10,453.24</t>
  </si>
  <si>
    <t>₹3,068.91</t>
  </si>
  <si>
    <t>₹5,332.28</t>
  </si>
  <si>
    <t>₹1,490.90</t>
  </si>
  <si>
    <t>₹9,892.09</t>
  </si>
  <si>
    <t>₹2,791.89</t>
  </si>
  <si>
    <t>₹3,721.26</t>
  </si>
  <si>
    <t>₹2,789.84</t>
  </si>
  <si>
    <t>₹9,302.99</t>
  </si>
  <si>
    <t>₹2,039.12</t>
  </si>
  <si>
    <t>₹3,095.68</t>
  </si>
  <si>
    <t>₹2,902.16</t>
  </si>
  <si>
    <t>₹8,036.96</t>
  </si>
  <si>
    <t>₹1,931.32</t>
  </si>
  <si>
    <t>₹3,548.83</t>
  </si>
  <si>
    <t>₹1,958.56</t>
  </si>
  <si>
    <t>₹7,438.71</t>
  </si>
  <si>
    <t>₹0.00</t>
  </si>
  <si>
    <t>₹6,913.86</t>
  </si>
  <si>
    <t>₹1,632.65</t>
  </si>
  <si>
    <t>₹2,681.18</t>
  </si>
  <si>
    <t>₹2,167.51</t>
  </si>
  <si>
    <t>₹6,481.34</t>
  </si>
  <si>
    <t>₹3,170.51</t>
  </si>
  <si>
    <t>₹2,162.78</t>
  </si>
  <si>
    <t>₹929.08</t>
  </si>
  <si>
    <t>₹6,262.37</t>
  </si>
  <si>
    <t>₹1,286.97</t>
  </si>
  <si>
    <t>₹2,512.16</t>
  </si>
  <si>
    <t>₹1,696.81</t>
  </si>
  <si>
    <t>₹5,495.95</t>
  </si>
  <si>
    <t>₹918.63</t>
  </si>
  <si>
    <t>₹2,069.89</t>
  </si>
  <si>
    <t>₹2,400.00</t>
  </si>
  <si>
    <t>₹5,388.53</t>
  </si>
  <si>
    <t>₹1,196.67</t>
  </si>
  <si>
    <t>₹1,744.04</t>
  </si>
  <si>
    <t>₹2,313.13</t>
  </si>
  <si>
    <t>₹5,253.83</t>
  </si>
  <si>
    <t>₹1,412.67</t>
  </si>
  <si>
    <t>₹2,778.39</t>
  </si>
  <si>
    <t>₹924.76</t>
  </si>
  <si>
    <t>₹5,115.81</t>
  </si>
  <si>
    <t>₹1,286.40</t>
  </si>
  <si>
    <t>₹2,366.33</t>
  </si>
  <si>
    <t>₹1,279.27</t>
  </si>
  <si>
    <t>₹4,932.00</t>
  </si>
  <si>
    <t>₹972.19</t>
  </si>
  <si>
    <t>₹2,556.05</t>
  </si>
  <si>
    <t>₹1,306.89</t>
  </si>
  <si>
    <t>₹4,835.14</t>
  </si>
  <si>
    <t>₹1,211.45</t>
  </si>
  <si>
    <t>₹1,799.99</t>
  </si>
  <si>
    <t>₹1,589.27</t>
  </si>
  <si>
    <t>₹4,600.71</t>
  </si>
  <si>
    <t>Dabble Flip Flap Dress-Up Your Own Unicorn &amp; Princesses | Travel-Friendly No Mess DIY Activity Set - Unicorn &amp; Princesses</t>
  </si>
  <si>
    <t>₹1,520.97</t>
  </si>
  <si>
    <t>₹1,620.80</t>
  </si>
  <si>
    <t>₹1,016.38</t>
  </si>
  <si>
    <t>₹4,158.15</t>
  </si>
  <si>
    <t>Dabble Flip Flap Make Your Own Dinosaur | Travel-Friendly No Mess DIY Activity Set - Unicorn &amp; Princesses</t>
  </si>
  <si>
    <t>₹1,194.77</t>
  </si>
  <si>
    <t>₹1,053.75</t>
  </si>
  <si>
    <t>₹1,897.23</t>
  </si>
  <si>
    <t>₹4,145.75</t>
  </si>
  <si>
    <t>₹1,187.25</t>
  </si>
  <si>
    <t>₹1,191.51</t>
  </si>
  <si>
    <t>₹1,650.67</t>
  </si>
  <si>
    <t>₹4,029.43</t>
  </si>
  <si>
    <t>₹1,781.27</t>
  </si>
  <si>
    <t>₹1,091.47</t>
  </si>
  <si>
    <t>₹960.21</t>
  </si>
  <si>
    <t>₹3,832.95</t>
  </si>
  <si>
    <t>₹1,922.63</t>
  </si>
  <si>
    <t>₹1,006.94</t>
  </si>
  <si>
    <t>₹500.57</t>
  </si>
  <si>
    <t>₹3,430.15</t>
  </si>
  <si>
    <t>₹1,473.82</t>
  </si>
  <si>
    <t>₹1,090.16</t>
  </si>
  <si>
    <t>₹615.36</t>
  </si>
  <si>
    <t>₹3,179.34</t>
  </si>
  <si>
    <t>Dabble Magic Dough Lab Colour Mixing STEAM Kit</t>
  </si>
  <si>
    <t>₹1,024.59</t>
  </si>
  <si>
    <t>₹1,577.16</t>
  </si>
  <si>
    <t>₹546.60</t>
  </si>
  <si>
    <t>₹3,148.36</t>
  </si>
  <si>
    <t>Dabble magic paint dust</t>
  </si>
  <si>
    <t>Dabble Finger Paints + Sensory Playdough Combo</t>
  </si>
  <si>
    <t>₹348.01</t>
  </si>
  <si>
    <t>₹1,049.61</t>
  </si>
  <si>
    <t>₹1,604.07</t>
  </si>
  <si>
    <t>₹3,001.69</t>
  </si>
  <si>
    <t>₹1,067.02</t>
  </si>
  <si>
    <t>₹635.54</t>
  </si>
  <si>
    <t>₹1,105.34</t>
  </si>
  <si>
    <t>₹2,807.90</t>
  </si>
  <si>
    <t>₹1,138.78</t>
  </si>
  <si>
    <t>₹781.68</t>
  </si>
  <si>
    <t>₹448.01</t>
  </si>
  <si>
    <t>₹2,368.47</t>
  </si>
  <si>
    <t>₹292.55</t>
  </si>
  <si>
    <t>₹1,474.64</t>
  </si>
  <si>
    <t>₹418.40</t>
  </si>
  <si>
    <t>₹2,185.59</t>
  </si>
  <si>
    <t>₹462.28</t>
  </si>
  <si>
    <t>₹1,217.72</t>
  </si>
  <si>
    <t>₹477.32</t>
  </si>
  <si>
    <t>₹2,157.31</t>
  </si>
  <si>
    <t>₹299.92</t>
  </si>
  <si>
    <t>₹524.73</t>
  </si>
  <si>
    <t>₹1,032.79</t>
  </si>
  <si>
    <t>₹1,857.44</t>
  </si>
  <si>
    <t>₹272.05</t>
  </si>
  <si>
    <t>₹1,280.99</t>
  </si>
  <si>
    <t>₹215.77</t>
  </si>
  <si>
    <t>₹1,768.82</t>
  </si>
  <si>
    <t>₹909.15</t>
  </si>
  <si>
    <t>₹677.99</t>
  </si>
  <si>
    <t>₹149.88</t>
  </si>
  <si>
    <t>₹1,737.01</t>
  </si>
  <si>
    <t>₹1,112.86</t>
  </si>
  <si>
    <t>₹387.18</t>
  </si>
  <si>
    <t>₹168.68</t>
  </si>
  <si>
    <t>₹1,668.72</t>
  </si>
  <si>
    <t>₹672.30</t>
  </si>
  <si>
    <t>₹620.39</t>
  </si>
  <si>
    <t>₹270.48</t>
  </si>
  <si>
    <t>₹1,563.18</t>
  </si>
  <si>
    <t>₹354.18</t>
  </si>
  <si>
    <t>₹641.80</t>
  </si>
  <si>
    <t>₹550.98</t>
  </si>
  <si>
    <t>₹1,546.96</t>
  </si>
  <si>
    <t>₹245.64</t>
  </si>
  <si>
    <t>₹924.62</t>
  </si>
  <si>
    <t>₹340.22</t>
  </si>
  <si>
    <t>₹1,510.47</t>
  </si>
  <si>
    <t>₹670.53</t>
  </si>
  <si>
    <t>₹70.51</t>
  </si>
  <si>
    <t>₹672.76</t>
  </si>
  <si>
    <t>₹1,413.80</t>
  </si>
  <si>
    <t>Dabble Sensory Rice</t>
  </si>
  <si>
    <t>₹662.82</t>
  </si>
  <si>
    <t>₹289.92</t>
  </si>
  <si>
    <t>₹400.79</t>
  </si>
  <si>
    <t>₹1,353.53</t>
  </si>
  <si>
    <t>₹448.02</t>
  </si>
  <si>
    <t>₹597.33</t>
  </si>
  <si>
    <t>₹307.08</t>
  </si>
  <si>
    <t>₹1,352.43</t>
  </si>
  <si>
    <t>₹205.77</t>
  </si>
  <si>
    <t>₹680.79</t>
  </si>
  <si>
    <t>₹443.96</t>
  </si>
  <si>
    <t>₹1,330.52</t>
  </si>
  <si>
    <t>₹127.57</t>
  </si>
  <si>
    <t>₹753.38</t>
  </si>
  <si>
    <t>₹1,188.03</t>
  </si>
  <si>
    <t>₹292.37</t>
  </si>
  <si>
    <t>₹757.49</t>
  </si>
  <si>
    <t>₹90.09</t>
  </si>
  <si>
    <t>₹1,139.96</t>
  </si>
  <si>
    <t>₹423.38</t>
  </si>
  <si>
    <t>₹377.59</t>
  </si>
  <si>
    <t>₹327.07</t>
  </si>
  <si>
    <t>₹1,128.05</t>
  </si>
  <si>
    <t>₹253.32</t>
  </si>
  <si>
    <t>₹226.57</t>
  </si>
  <si>
    <t>₹418.33</t>
  </si>
  <si>
    <t>₹898.22</t>
  </si>
  <si>
    <t>₹59.02</t>
  </si>
  <si>
    <t>₹664.00</t>
  </si>
  <si>
    <t>₹173.52</t>
  </si>
  <si>
    <t>₹896.54</t>
  </si>
  <si>
    <t>₹559.52</t>
  </si>
  <si>
    <t>₹866.60</t>
  </si>
  <si>
    <t>₹188.80</t>
  </si>
  <si>
    <t>₹422.49</t>
  </si>
  <si>
    <t>₹231.48</t>
  </si>
  <si>
    <t>₹842.77</t>
  </si>
  <si>
    <t>Jumbo BrusH</t>
  </si>
  <si>
    <t>₹253.53</t>
  </si>
  <si>
    <t>₹479.11</t>
  </si>
  <si>
    <t>₹732.64</t>
  </si>
  <si>
    <t>₹585.02</t>
  </si>
  <si>
    <t>₹139.47</t>
  </si>
  <si>
    <t>₹724.49</t>
  </si>
  <si>
    <t>Little Makers Set | Dabble Sensory Play Dough + Painting Apron</t>
  </si>
  <si>
    <t>₹270.28</t>
  </si>
  <si>
    <t>₹264.42</t>
  </si>
  <si>
    <t>₹179.13</t>
  </si>
  <si>
    <t>₹713.83</t>
  </si>
  <si>
    <t>Magic Paint Dust Babys First Painting Kit</t>
  </si>
  <si>
    <t>₹237.12</t>
  </si>
  <si>
    <t>₹390.76</t>
  </si>
  <si>
    <t>₹627.87</t>
  </si>
  <si>
    <t>Magic Paint Dust + Jumbo Brush Combo Kit Babys First Painting Kit</t>
  </si>
  <si>
    <t>₹541.27</t>
  </si>
  <si>
    <t>₹82.43</t>
  </si>
  <si>
    <t>₹623.69</t>
  </si>
  <si>
    <t>Magic Paint Dust + Jumbo Brush Combo Kit + PlayArt Roll Babys First Painting Kit</t>
  </si>
  <si>
    <t>₹162.41</t>
  </si>
  <si>
    <t>₹358.92</t>
  </si>
  <si>
    <t>₹521.33</t>
  </si>
  <si>
    <t>Magic Paint Dust + PlayArt Roll Babys First Painting Kit</t>
  </si>
  <si>
    <t>₹370.19</t>
  </si>
  <si>
    <t>₹135.14</t>
  </si>
  <si>
    <t>₹505.33</t>
  </si>
  <si>
    <t>Magic Paint Dust Green</t>
  </si>
  <si>
    <t>₹254.88</t>
  </si>
  <si>
    <t>₹216.66</t>
  </si>
  <si>
    <t>₹471.54</t>
  </si>
  <si>
    <t>₹100.24</t>
  </si>
  <si>
    <t>₹407.32</t>
  </si>
  <si>
    <t>₹92.80</t>
  </si>
  <si>
    <t>₹277.62</t>
  </si>
  <si>
    <t>₹370.43</t>
  </si>
  <si>
    <t>₹255.21</t>
  </si>
  <si>
    <t>₹95.14</t>
  </si>
  <si>
    <t>₹350.35</t>
  </si>
  <si>
    <t>₹136.11</t>
  </si>
  <si>
    <t>₹298.52</t>
  </si>
  <si>
    <t>₹116.07</t>
  </si>
  <si>
    <t>₹153.95</t>
  </si>
  <si>
    <t>₹270.01</t>
  </si>
  <si>
    <t>₹89.03</t>
  </si>
  <si>
    <t>₹173.96</t>
  </si>
  <si>
    <t>₹262.98</t>
  </si>
  <si>
    <t>₹248.75</t>
  </si>
  <si>
    <t>₹62.69</t>
  </si>
  <si>
    <t>₹97.92</t>
  </si>
  <si>
    <t>₹59.92</t>
  </si>
  <si>
    <t>₹220.52</t>
  </si>
  <si>
    <t>₹191.92</t>
  </si>
  <si>
    <t>₹174.01</t>
  </si>
  <si>
    <t>My First Dabble Swingin Jungle Adventure | Reusable Story Card Set</t>
  </si>
  <si>
    <t>sensory playdough</t>
  </si>
  <si>
    <t>My First Dabble Swingin Jungle Adventure + Crayons Combo</t>
  </si>
  <si>
    <t>₹158.68</t>
  </si>
  <si>
    <t>My First Dabble Swingin Jungle Adventure + Mini Starter Fun Pack + Chubby Brushes Combo</t>
  </si>
  <si>
    <t>₹63.25</t>
  </si>
  <si>
    <t>₹85.12</t>
  </si>
  <si>
    <t>₹148.36</t>
  </si>
  <si>
    <t>My First Dabble Swingin Jungle Adventure + Mini Starter Fun Pack Combo</t>
  </si>
  <si>
    <t>Dabble pages</t>
  </si>
  <si>
    <t>₹147.73</t>
  </si>
  <si>
    <t>₹142.83</t>
  </si>
  <si>
    <t>Palette &amp;amp; Brush</t>
  </si>
  <si>
    <t>₹135.27</t>
  </si>
  <si>
    <t>Playart Crayons Art Roll</t>
  </si>
  <si>
    <t>₹124.00</t>
  </si>
  <si>
    <t>chunkie</t>
  </si>
  <si>
    <t>₹120.05</t>
  </si>
  <si>
    <t>₹40.31</t>
  </si>
  <si>
    <t>₹65.00</t>
  </si>
  <si>
    <t>₹105.31</t>
  </si>
  <si>
    <t>STICKER + Color paper</t>
  </si>
  <si>
    <t>Brush brown flat</t>
  </si>
  <si>
    <t>₹94.40</t>
  </si>
  <si>
    <t>Sensory Playdough green color</t>
  </si>
  <si>
    <t>₹87.05</t>
  </si>
  <si>
    <t>Sensory palydough green color</t>
  </si>
  <si>
    <t>green color paint dust</t>
  </si>
  <si>
    <t>₹81.88</t>
  </si>
  <si>
    <t>₹74.04</t>
  </si>
  <si>
    <t>Red Playdough</t>
  </si>
  <si>
    <t>₹69.60</t>
  </si>
  <si>
    <t>yellow playdough</t>
  </si>
  <si>
    <t>₹65.94</t>
  </si>
  <si>
    <t>₹65.59</t>
  </si>
  <si>
    <t>₹63.45</t>
  </si>
  <si>
    <t>Red colour 5ml</t>
  </si>
  <si>
    <t>₹63.42</t>
  </si>
  <si>
    <t>₹62.79</t>
  </si>
  <si>
    <t>₹57.26</t>
  </si>
  <si>
    <t>Art Roll</t>
  </si>
  <si>
    <t>₹55.62</t>
  </si>
  <si>
    <t>₹53.58</t>
  </si>
  <si>
    <t>₹53.56</t>
  </si>
  <si>
    <t>Green Playdough</t>
  </si>
  <si>
    <t>₹48.58</t>
  </si>
  <si>
    <t>Red playdough</t>
  </si>
  <si>
    <t>Dabble Magic Dough Lab — Colour Mixing STEAM Kit</t>
  </si>
  <si>
    <t>₹46.25</t>
  </si>
  <si>
    <t>Items purchased</t>
  </si>
  <si>
    <t>Item revenue</t>
  </si>
  <si>
    <t>Conv %</t>
  </si>
  <si>
    <t>(not set)</t>
  </si>
  <si>
    <t>Dabble Iron On Patch</t>
  </si>
  <si>
    <t>Dabble X Coro Color Wonderland</t>
  </si>
  <si>
    <t>Digital Sensory Playbook worth â‚¹499</t>
  </si>
  <si>
    <t>Mother's Day Card</t>
  </si>
  <si>
    <t xml:space="preserve">Other cost </t>
  </si>
  <si>
    <r>
      <rPr>
        <rFont val="Calibri"/>
        <b/>
        <color theme="1"/>
        <sz val="11.0"/>
      </rPr>
      <t xml:space="preserve">Cost of primary package </t>
    </r>
    <r>
      <rPr>
        <rFont val="Calibri"/>
        <b/>
        <color theme="1"/>
        <sz val="11.0"/>
      </rPr>
      <t xml:space="preserve">% </t>
    </r>
  </si>
  <si>
    <t>Cost of material %</t>
  </si>
  <si>
    <t>Total production cost  %</t>
  </si>
  <si>
    <t>Gross margin %</t>
  </si>
  <si>
    <t>SKU CODE</t>
  </si>
  <si>
    <t>PRODUCT NAME</t>
  </si>
  <si>
    <t>MRP with GST</t>
  </si>
  <si>
    <t>MRP without GST(RS)</t>
  </si>
  <si>
    <t>Total cost with tax/unit</t>
  </si>
  <si>
    <t>Total cost without tax</t>
  </si>
  <si>
    <t>Cost of material</t>
  </si>
  <si>
    <t xml:space="preserve">Cost of primary packageing </t>
  </si>
  <si>
    <t>Other miscellaneous</t>
  </si>
  <si>
    <t>Over headcost</t>
  </si>
  <si>
    <t>Cost of secondary packing</t>
  </si>
  <si>
    <t>Transportation</t>
  </si>
  <si>
    <t>DPJCPOTH1010</t>
  </si>
  <si>
    <t>DPMCPOEI1011</t>
  </si>
  <si>
    <t>DPFPPOTH1004</t>
  </si>
  <si>
    <t>DPFPPOEI1007</t>
  </si>
  <si>
    <t>DPFPMSFP1029</t>
  </si>
  <si>
    <t>DPCBPOFR1009</t>
  </si>
  <si>
    <t>DPJBPOTW1008</t>
  </si>
  <si>
    <t>DPCP20CP1034</t>
  </si>
  <si>
    <t>DPSCMSJ1038</t>
  </si>
  <si>
    <t>DPAKSTKI1003</t>
  </si>
  <si>
    <t>STAMPKIT</t>
  </si>
  <si>
    <t>DPAKPSAK321310001002</t>
  </si>
  <si>
    <t xml:space="preserve">PRESCHOOL KIT </t>
  </si>
  <si>
    <t>A1KIT</t>
  </si>
  <si>
    <t>A1</t>
  </si>
  <si>
    <t>DPFRCAB1014</t>
  </si>
  <si>
    <t>CANVAS FRAME</t>
  </si>
  <si>
    <t>DPAR20MTR1013</t>
  </si>
  <si>
    <t>ARTROLL</t>
  </si>
  <si>
    <t>DPAKAP1030</t>
  </si>
  <si>
    <t>APRON</t>
  </si>
  <si>
    <t>DPGLPOTW1012</t>
  </si>
  <si>
    <t>GLUE</t>
  </si>
  <si>
    <t xml:space="preserve">DIWALI KIT </t>
  </si>
  <si>
    <t>DPPGE1049</t>
  </si>
  <si>
    <t xml:space="preserve">PUZZLE KIT </t>
  </si>
  <si>
    <t>DPAKHFPK1006</t>
  </si>
  <si>
    <t xml:space="preserve">Canvas kit </t>
  </si>
  <si>
    <t>DPCPTF1050</t>
  </si>
  <si>
    <t>Touch &amp; Feel</t>
  </si>
  <si>
    <t>DPIMAK1044</t>
  </si>
  <si>
    <t>India Map</t>
  </si>
  <si>
    <t>DPFBPB81049</t>
  </si>
  <si>
    <t>Flip book - Princess</t>
  </si>
  <si>
    <t>DPFBDB81048</t>
  </si>
  <si>
    <t>Flip book - Dino</t>
  </si>
  <si>
    <t>DPBUBLE1047</t>
  </si>
  <si>
    <t>Bubble</t>
  </si>
  <si>
    <t>DMDN1074</t>
  </si>
  <si>
    <t>Dino kit</t>
  </si>
  <si>
    <t>DMUN1073</t>
  </si>
  <si>
    <t>Unicorn kit</t>
  </si>
  <si>
    <t>DPDP1072</t>
  </si>
  <si>
    <t>DMDN1078</t>
  </si>
  <si>
    <t>DMDN1077</t>
  </si>
  <si>
    <t>DMDP1079</t>
  </si>
  <si>
    <t>Dabble mini's Dessert Party</t>
  </si>
  <si>
    <t>DMMDL1080</t>
  </si>
  <si>
    <t>Dabble mini's Magic Dough Lab</t>
  </si>
  <si>
    <t>DMSPD1081</t>
  </si>
  <si>
    <t>Dabble Minis Sensory Play Dough Kit</t>
  </si>
  <si>
    <t>DCS1088</t>
  </si>
  <si>
    <t>Row Labels</t>
  </si>
  <si>
    <t>Lineitem quantity</t>
  </si>
  <si>
    <t>Discount Amount</t>
  </si>
  <si>
    <t>Discount/unit</t>
  </si>
  <si>
    <t>Digital Playbook worth ₹499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</si>
</sst>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1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rgb="FF000000"/>
      <name val="Calibri"/>
    </font>
    <font>
      <b/>
      <sz val="11.0"/>
      <color theme="1"/>
      <name val="Calibri"/>
    </font>
    <font>
      <color rgb="FFFF0000"/>
      <name val="Arial"/>
    </font>
    <font>
      <color rgb="FF434343"/>
      <name val="Roboto"/>
    </font>
    <font>
      <b/>
      <i/>
      <sz val="11.0"/>
      <color rgb="FF000000"/>
      <name val="Calibri"/>
    </font>
    <font>
      <b/>
      <color rgb="FFFFFFFF"/>
      <name val="Arial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rgb="FFFF0000"/>
      <name val="Calibri"/>
    </font>
    <font>
      <sz val="11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B1A0C7"/>
        <bgColor rgb="FFB1A0C7"/>
      </patternFill>
    </fill>
    <fill>
      <patternFill patternType="solid">
        <fgColor rgb="FFF2F2F2"/>
        <bgColor rgb="FFF2F2F2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1C232"/>
        <bgColor rgb="FFF1C23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vertical="bottom"/>
    </xf>
    <xf borderId="1" fillId="3" fontId="1" numFmtId="1" xfId="0" applyAlignment="1" applyBorder="1" applyFont="1" applyNumberFormat="1">
      <alignment horizontal="center" readingOrder="0" vertical="bottom"/>
    </xf>
    <xf borderId="1" fillId="3" fontId="1" numFmtId="0" xfId="0" applyAlignment="1" applyBorder="1" applyFont="1">
      <alignment horizontal="center" vertical="bottom"/>
    </xf>
    <xf borderId="1" fillId="3" fontId="1" numFmtId="164" xfId="0" applyAlignment="1" applyBorder="1" applyFont="1" applyNumberFormat="1">
      <alignment horizontal="center" vertical="bottom"/>
    </xf>
    <xf borderId="1" fillId="4" fontId="1" numFmtId="0" xfId="0" applyAlignment="1" applyBorder="1" applyFill="1" applyFont="1">
      <alignment vertical="bottom"/>
    </xf>
    <xf borderId="1" fillId="5" fontId="1" numFmtId="0" xfId="0" applyAlignment="1" applyBorder="1" applyFill="1" applyFont="1">
      <alignment vertical="bottom"/>
    </xf>
    <xf borderId="1" fillId="6" fontId="1" numFmtId="0" xfId="0" applyAlignment="1" applyBorder="1" applyFill="1" applyFont="1">
      <alignment vertical="bottom"/>
    </xf>
    <xf borderId="1" fillId="3" fontId="1" numFmtId="1" xfId="0" applyAlignment="1" applyBorder="1" applyFont="1" applyNumberFormat="1">
      <alignment vertical="bottom"/>
    </xf>
    <xf borderId="0" fillId="3" fontId="1" numFmtId="0" xfId="0" applyAlignment="1" applyFont="1">
      <alignment vertical="bottom"/>
    </xf>
    <xf borderId="0" fillId="0" fontId="2" numFmtId="0" xfId="0" applyFont="1"/>
    <xf borderId="1" fillId="0" fontId="3" numFmtId="0" xfId="0" applyAlignment="1" applyBorder="1" applyFont="1">
      <alignment readingOrder="0" vertical="bottom"/>
    </xf>
    <xf borderId="1" fillId="0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1" xfId="0" applyAlignment="1" applyBorder="1" applyFont="1" applyNumberFormat="1">
      <alignment horizontal="center" vertical="bottom"/>
    </xf>
    <xf borderId="0" fillId="0" fontId="3" numFmtId="164" xfId="0" applyAlignment="1" applyFont="1" applyNumberFormat="1">
      <alignment horizontal="center" readingOrder="0" vertical="bottom"/>
    </xf>
    <xf borderId="1" fillId="0" fontId="3" numFmtId="0" xfId="0" applyAlignment="1" applyBorder="1" applyFont="1">
      <alignment horizontal="right" readingOrder="0" vertical="bottom"/>
    </xf>
    <xf borderId="0" fillId="0" fontId="3" numFmtId="164" xfId="0" applyAlignment="1" applyFont="1" applyNumberFormat="1">
      <alignment horizontal="right" vertical="bottom"/>
    </xf>
    <xf borderId="1" fillId="0" fontId="3" numFmtId="0" xfId="0" applyAlignment="1" applyBorder="1" applyFont="1">
      <alignment horizontal="right" vertical="bottom"/>
    </xf>
    <xf borderId="0" fillId="2" fontId="3" numFmtId="2" xfId="0" applyAlignment="1" applyFont="1" applyNumberFormat="1">
      <alignment horizontal="right" readingOrder="0" vertical="bottom"/>
    </xf>
    <xf borderId="0" fillId="0" fontId="3" numFmtId="2" xfId="0" applyAlignment="1" applyFont="1" applyNumberFormat="1">
      <alignment horizontal="right" vertical="bottom"/>
    </xf>
    <xf borderId="0" fillId="0" fontId="3" numFmtId="2" xfId="0" applyAlignment="1" applyFont="1" applyNumberFormat="1">
      <alignment horizontal="right" readingOrder="0" vertical="bottom"/>
    </xf>
    <xf borderId="1" fillId="0" fontId="3" numFmtId="164" xfId="0" applyAlignment="1" applyBorder="1" applyFont="1" applyNumberFormat="1">
      <alignment horizontal="right" vertical="bottom"/>
    </xf>
    <xf borderId="1" fillId="0" fontId="3" numFmtId="2" xfId="0" applyAlignment="1" applyBorder="1" applyFont="1" applyNumberFormat="1">
      <alignment horizontal="right" vertical="bottom"/>
    </xf>
    <xf borderId="1" fillId="0" fontId="3" numFmtId="10" xfId="0" applyAlignment="1" applyBorder="1" applyFont="1" applyNumberFormat="1">
      <alignment horizontal="right" vertical="bottom"/>
    </xf>
    <xf borderId="0" fillId="0" fontId="3" numFmtId="10" xfId="0" applyAlignment="1" applyFont="1" applyNumberFormat="1">
      <alignment horizontal="right" vertical="bottom"/>
    </xf>
    <xf borderId="0" fillId="0" fontId="4" numFmtId="0" xfId="0" applyAlignment="1" applyFont="1">
      <alignment horizontal="left" readingOrder="0" shrinkToFit="0" vertical="bottom" wrapText="0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0" fontId="3" numFmtId="1" xfId="0" applyAlignment="1" applyBorder="1" applyFont="1" applyNumberFormat="1">
      <alignment horizontal="center" readingOrder="0" vertical="bottom"/>
    </xf>
    <xf borderId="0" fillId="5" fontId="3" numFmtId="2" xfId="0" applyAlignment="1" applyFont="1" applyNumberFormat="1">
      <alignment horizontal="right" vertical="bottom"/>
    </xf>
    <xf borderId="1" fillId="2" fontId="2" numFmtId="0" xfId="0" applyAlignment="1" applyBorder="1" applyFont="1">
      <alignment readingOrder="0"/>
    </xf>
    <xf borderId="1" fillId="0" fontId="5" numFmtId="0" xfId="0" applyAlignment="1" applyBorder="1" applyFont="1">
      <alignment horizontal="center" vertical="bottom"/>
    </xf>
    <xf borderId="0" fillId="5" fontId="3" numFmtId="0" xfId="0" applyAlignment="1" applyFont="1">
      <alignment horizontal="right" vertical="bottom"/>
    </xf>
    <xf borderId="0" fillId="5" fontId="2" numFmtId="0" xfId="0" applyFont="1"/>
    <xf borderId="0" fillId="0" fontId="3" numFmtId="0" xfId="0" applyAlignment="1" applyFont="1">
      <alignment vertical="bottom"/>
    </xf>
    <xf borderId="1" fillId="7" fontId="1" numFmtId="0" xfId="0" applyAlignment="1" applyBorder="1" applyFill="1" applyFont="1">
      <alignment readingOrder="0" vertical="bottom"/>
    </xf>
    <xf borderId="1" fillId="8" fontId="3" numFmtId="0" xfId="0" applyAlignment="1" applyBorder="1" applyFill="1" applyFont="1">
      <alignment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6" numFmtId="0" xfId="0" applyAlignment="1" applyFont="1">
      <alignment horizontal="right" readingOrder="0" vertical="bottom"/>
    </xf>
    <xf borderId="2" fillId="9" fontId="7" numFmtId="0" xfId="0" applyAlignment="1" applyBorder="1" applyFill="1" applyFont="1">
      <alignment horizontal="right" readingOrder="0" shrinkToFit="0" vertical="bottom" wrapText="0"/>
    </xf>
    <xf borderId="2" fillId="9" fontId="7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2" fontId="7" numFmtId="0" xfId="0" applyAlignment="1" applyFont="1">
      <alignment horizontal="right" readingOrder="0" shrinkToFit="0" vertical="bottom" wrapText="0"/>
    </xf>
    <xf borderId="1" fillId="8" fontId="3" numFmtId="0" xfId="0" applyAlignment="1" applyBorder="1" applyFont="1">
      <alignment readingOrder="0" vertical="bottom"/>
    </xf>
    <xf borderId="1" fillId="10" fontId="3" numFmtId="0" xfId="0" applyAlignment="1" applyBorder="1" applyFill="1" applyFont="1">
      <alignment horizontal="left" vertical="bottom"/>
    </xf>
    <xf borderId="1" fillId="1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0" fillId="0" fontId="2" numFmtId="10" xfId="0" applyFont="1" applyNumberFormat="1"/>
    <xf borderId="1" fillId="11" fontId="8" numFmtId="0" xfId="0" applyAlignment="1" applyBorder="1" applyFill="1" applyFont="1">
      <alignment horizontal="left" readingOrder="0" shrinkToFit="0" vertical="bottom" wrapText="0"/>
    </xf>
    <xf borderId="0" fillId="12" fontId="9" numFmtId="0" xfId="0" applyAlignment="1" applyFill="1" applyFont="1">
      <alignment horizontal="center" readingOrder="0" vertical="bottom"/>
    </xf>
    <xf borderId="0" fillId="12" fontId="9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3" fillId="13" fontId="3" numFmtId="0" xfId="0" applyAlignment="1" applyBorder="1" applyFill="1" applyFont="1">
      <alignment readingOrder="0" shrinkToFit="0" vertical="bottom" wrapText="0"/>
    </xf>
    <xf borderId="3" fillId="13" fontId="3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1" fillId="0" fontId="2" numFmtId="2" xfId="0" applyBorder="1" applyFont="1" applyNumberFormat="1"/>
    <xf borderId="1" fillId="14" fontId="5" numFmtId="0" xfId="0" applyAlignment="1" applyBorder="1" applyFill="1" applyFont="1">
      <alignment shrinkToFit="0" vertical="bottom" wrapText="1"/>
    </xf>
    <xf borderId="1" fillId="14" fontId="5" numFmtId="0" xfId="0" applyAlignment="1" applyBorder="1" applyFont="1">
      <alignment horizontal="center" shrinkToFit="0" vertical="bottom" wrapText="1"/>
    </xf>
    <xf borderId="1" fillId="15" fontId="10" numFmtId="0" xfId="0" applyAlignment="1" applyBorder="1" applyFill="1" applyFont="1">
      <alignment horizontal="center" shrinkToFit="0" vertical="bottom" wrapText="1"/>
    </xf>
    <xf borderId="1" fillId="15" fontId="5" numFmtId="0" xfId="0" applyAlignment="1" applyBorder="1" applyFont="1">
      <alignment horizontal="center" shrinkToFit="0" vertical="bottom" wrapText="1"/>
    </xf>
    <xf borderId="1" fillId="15" fontId="5" numFmtId="0" xfId="0" applyAlignment="1" applyBorder="1" applyFont="1">
      <alignment horizontal="center" vertical="bottom"/>
    </xf>
    <xf borderId="1" fillId="16" fontId="5" numFmtId="0" xfId="0" applyAlignment="1" applyBorder="1" applyFill="1" applyFont="1">
      <alignment horizontal="center" shrinkToFit="0" vertical="bottom" wrapText="1"/>
    </xf>
    <xf borderId="1" fillId="16" fontId="5" numFmtId="0" xfId="0" applyAlignment="1" applyBorder="1" applyFont="1">
      <alignment shrinkToFit="0" vertical="bottom" wrapText="1"/>
    </xf>
    <xf borderId="1" fillId="17" fontId="5" numFmtId="0" xfId="0" applyAlignment="1" applyBorder="1" applyFill="1" applyFont="1">
      <alignment shrinkToFit="0" vertical="bottom" wrapText="1"/>
    </xf>
    <xf borderId="1" fillId="17" fontId="5" numFmtId="0" xfId="0" applyAlignment="1" applyBorder="1" applyFont="1">
      <alignment horizontal="center" vertical="bottom"/>
    </xf>
    <xf borderId="1" fillId="0" fontId="5" numFmtId="165" xfId="0" applyAlignment="1" applyBorder="1" applyFont="1" applyNumberFormat="1">
      <alignment horizontal="right" vertical="bottom"/>
    </xf>
    <xf borderId="1" fillId="0" fontId="5" numFmtId="165" xfId="0" applyAlignment="1" applyBorder="1" applyFont="1" applyNumberFormat="1">
      <alignment horizontal="center" shrinkToFit="0" vertical="bottom" wrapText="1"/>
    </xf>
    <xf borderId="1" fillId="2" fontId="11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shrinkToFit="0" vertical="bottom" wrapText="1"/>
    </xf>
    <xf borderId="1" fillId="0" fontId="5" numFmtId="3" xfId="0" applyAlignment="1" applyBorder="1" applyFont="1" applyNumberFormat="1">
      <alignment horizontal="center" shrinkToFit="0" vertical="bottom" wrapText="1"/>
    </xf>
    <xf borderId="1" fillId="17" fontId="5" numFmtId="164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horizontal="right" vertical="bottom"/>
    </xf>
    <xf borderId="1" fillId="0" fontId="11" numFmtId="0" xfId="0" applyAlignment="1" applyBorder="1" applyFont="1">
      <alignment horizontal="center" vertical="bottom"/>
    </xf>
    <xf borderId="1" fillId="0" fontId="5" numFmtId="164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horizontal="right" readingOrder="0" vertical="bottom"/>
    </xf>
    <xf borderId="1" fillId="17" fontId="12" numFmtId="164" xfId="0" applyAlignment="1" applyBorder="1" applyFont="1" applyNumberFormat="1">
      <alignment horizontal="right" vertical="bottom"/>
    </xf>
    <xf borderId="1" fillId="0" fontId="11" numFmtId="0" xfId="0" applyAlignment="1" applyBorder="1" applyFont="1">
      <alignment horizontal="right" vertical="bottom"/>
    </xf>
    <xf borderId="1" fillId="0" fontId="11" numFmtId="0" xfId="0" applyAlignment="1" applyBorder="1" applyFont="1">
      <alignment vertical="bottom"/>
    </xf>
    <xf borderId="1" fillId="0" fontId="5" numFmtId="1" xfId="0" applyAlignment="1" applyBorder="1" applyFont="1" applyNumberFormat="1">
      <alignment horizontal="right" vertical="bottom"/>
    </xf>
    <xf borderId="1" fillId="2" fontId="11" numFmtId="0" xfId="0" applyAlignment="1" applyBorder="1" applyFont="1">
      <alignment vertical="bottom"/>
    </xf>
    <xf borderId="1" fillId="17" fontId="11" numFmtId="164" xfId="0" applyAlignment="1" applyBorder="1" applyFont="1" applyNumberFormat="1">
      <alignment horizontal="right" vertical="bottom"/>
    </xf>
    <xf borderId="1" fillId="0" fontId="11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11" numFmtId="0" xfId="0" applyAlignment="1" applyBorder="1" applyFont="1">
      <alignment vertical="bottom"/>
    </xf>
    <xf borderId="0" fillId="0" fontId="3" numFmtId="1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13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Calculations As per GA Data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rabjot Singh" id="{4c1d7601-7d8e-47ca-ae75-f1a0143c3aaa}" providerId="google-sheets"/>
</x18tc:personList>
</file>

<file path=xl/tables/table1.xml><?xml version="1.0" encoding="utf-8"?>
<table xmlns="http://schemas.openxmlformats.org/spreadsheetml/2006/main" headerRowCount="0" ref="C10:E11" displayName="Table_1" name="Table_1" id="1">
  <tableColumns count="3">
    <tableColumn name="Column1" id="1"/>
    <tableColumn name="Column2" id="2"/>
    <tableColumn name="Column3" id="3"/>
  </tableColumns>
  <tableStyleInfo name="Calculations As per GA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9" dT="2026-07-14T14:09:15.00" personId="{4c1d7601-7d8e-47ca-ae75-f1a0143c3aaa}" id="{08ff5588-f518-4737-8333-ff66aea36a19}" done="1">
    <x18tc:text xml:space="preserve">Red means we are waiting for it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5"/>
    <col customWidth="1" min="2" max="2" width="45.88"/>
    <col customWidth="1" min="3" max="3" width="14.38"/>
    <col customWidth="1" min="4" max="4" width="16.88"/>
    <col customWidth="1" min="5" max="5" width="18.0"/>
    <col customWidth="1" min="6" max="6" width="17.13"/>
    <col customWidth="1" min="9" max="9" width="13.38"/>
    <col customWidth="1" min="10" max="10" width="15.25"/>
    <col customWidth="1" min="12" max="12" width="19.75"/>
    <col customWidth="1" min="13" max="13" width="17.5"/>
    <col customWidth="1" min="14" max="14" width="14.38"/>
  </cols>
  <sheetData>
    <row r="1">
      <c r="A1" s="1" t="s">
        <v>0</v>
      </c>
      <c r="B1" s="2" t="s">
        <v>0</v>
      </c>
      <c r="C1" s="2" t="s">
        <v>1</v>
      </c>
      <c r="D1" s="3" t="s">
        <v>2</v>
      </c>
      <c r="E1" s="4" t="s">
        <v>3</v>
      </c>
      <c r="F1" s="4" t="s">
        <v>4</v>
      </c>
      <c r="G1" s="5" t="s">
        <v>5</v>
      </c>
      <c r="H1" s="4" t="s">
        <v>6</v>
      </c>
      <c r="I1" s="4" t="s">
        <v>7</v>
      </c>
      <c r="J1" s="6" t="s">
        <v>8</v>
      </c>
      <c r="K1" s="7" t="s">
        <v>9</v>
      </c>
      <c r="L1" s="6" t="s">
        <v>10</v>
      </c>
      <c r="M1" s="8" t="s">
        <v>11</v>
      </c>
      <c r="N1" s="2" t="s">
        <v>12</v>
      </c>
      <c r="O1" s="2" t="s">
        <v>13</v>
      </c>
      <c r="P1" s="2" t="s">
        <v>14</v>
      </c>
      <c r="Q1" s="9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10"/>
    </row>
    <row r="2">
      <c r="A2" s="11" t="s">
        <v>22</v>
      </c>
      <c r="B2" s="12" t="s">
        <v>23</v>
      </c>
      <c r="C2" s="11" t="s">
        <v>24</v>
      </c>
      <c r="D2" s="13">
        <f t="array" ref="D2">XLOOKUP(B2,'Calculations As per GA Data'!B20:B141,'Calculations As per GA Data'!G20:G141)</f>
        <v>192043.9998</v>
      </c>
      <c r="E2" s="14">
        <v>899.0</v>
      </c>
      <c r="F2" s="15">
        <f t="shared" ref="F2:F65" si="1">E2/1.18</f>
        <v>761.8644068</v>
      </c>
      <c r="G2" s="16">
        <v>4.75</v>
      </c>
      <c r="H2" s="13">
        <f t="array" ref="H2">XLOOKUP(B2,'Discount calculation'!A:A,'Discount calculation'!D:D)</f>
        <v>11.11115646</v>
      </c>
      <c r="I2" s="13">
        <f t="shared" ref="I2:I116" si="2">F2-SUM(G2:H2)</f>
        <v>746.0032503</v>
      </c>
      <c r="J2" s="17">
        <v>126.3</v>
      </c>
      <c r="K2" s="18">
        <f t="shared" ref="K2:K116" si="3">I2-J2</f>
        <v>619.7032503</v>
      </c>
      <c r="L2" s="19">
        <v>12.5</v>
      </c>
      <c r="M2" s="20">
        <v>7.52</v>
      </c>
      <c r="N2" s="21">
        <v>150.51244343891403</v>
      </c>
      <c r="O2" s="22">
        <v>4.55</v>
      </c>
      <c r="P2" s="23">
        <f t="shared" ref="P2:P116" si="4">K2-SUM(L2:O2)</f>
        <v>444.6208069</v>
      </c>
      <c r="Q2" s="24">
        <f t="array" ref="Q2">XLOOKUP(B2,'Calculations As per GA Data'!B20:B141,'Calculations As per GA Data'!J20:J141)</f>
        <v>1098.784739</v>
      </c>
      <c r="R2" s="19">
        <f t="array" ref="R2">XLOOKUP(B2,'Calculations As per GA Data'!B20:B141,'Calculations As per GA Data'!F20:F141)</f>
        <v>221</v>
      </c>
      <c r="S2" s="23">
        <f t="shared" ref="S2:S116" si="5">P2-Q2</f>
        <v>-654.1639316</v>
      </c>
      <c r="T2" s="25">
        <f t="shared" ref="T2:T116" si="6">S2/I2</f>
        <v>-0.8768915301</v>
      </c>
      <c r="U2" s="17">
        <v>229.0</v>
      </c>
      <c r="V2" s="23">
        <f t="shared" ref="V2:V116" si="7">S2-U2</f>
        <v>-883.1639316</v>
      </c>
      <c r="W2" s="25">
        <f t="shared" ref="W2:W116" si="8">V2/I2</f>
        <v>-1.183860702</v>
      </c>
      <c r="X2" s="26"/>
    </row>
    <row r="3">
      <c r="A3" s="11" t="s">
        <v>25</v>
      </c>
      <c r="B3" s="27" t="s">
        <v>26</v>
      </c>
      <c r="C3" s="11" t="s">
        <v>25</v>
      </c>
      <c r="D3" s="13">
        <f t="array" ref="D3">XLOOKUP(B3,'Calculations As per GA Data'!B21:B142,'Calculations As per GA Data'!G21:G142)</f>
        <v>190336.0018</v>
      </c>
      <c r="E3" s="14">
        <v>899.0</v>
      </c>
      <c r="F3" s="15">
        <f t="shared" si="1"/>
        <v>761.8644068</v>
      </c>
      <c r="G3" s="16">
        <v>4.75</v>
      </c>
      <c r="H3" s="13">
        <f t="array" ref="H3">XLOOKUP(B3,'Discount calculation'!A:A,'Discount calculation'!D:D)</f>
        <v>11.27311881</v>
      </c>
      <c r="I3" s="13">
        <f t="shared" si="2"/>
        <v>745.841288</v>
      </c>
      <c r="J3" s="28">
        <v>124.49</v>
      </c>
      <c r="K3" s="18">
        <f t="shared" si="3"/>
        <v>621.351288</v>
      </c>
      <c r="L3" s="11">
        <v>12.5</v>
      </c>
      <c r="M3" s="20">
        <v>7.52</v>
      </c>
      <c r="N3" s="21">
        <v>167.52373831775702</v>
      </c>
      <c r="O3" s="22">
        <v>4.55</v>
      </c>
      <c r="P3" s="23">
        <f t="shared" si="4"/>
        <v>429.2575497</v>
      </c>
      <c r="Q3" s="24">
        <f t="array" ref="Q3">XLOOKUP(B3,'Calculations As per GA Data'!B21:B142,'Calculations As per GA Data'!J21:J142)</f>
        <v>1038.511921</v>
      </c>
      <c r="R3" s="19">
        <f t="array" ref="R3">XLOOKUP(B3,'Calculations As per GA Data'!B21:B142,'Calculations As per GA Data'!F21:F142)</f>
        <v>214</v>
      </c>
      <c r="S3" s="23">
        <f t="shared" si="5"/>
        <v>-609.2543712</v>
      </c>
      <c r="T3" s="25">
        <f t="shared" si="6"/>
        <v>-0.8168686569</v>
      </c>
      <c r="U3" s="17">
        <v>229.0</v>
      </c>
      <c r="V3" s="23">
        <f t="shared" si="7"/>
        <v>-838.2543712</v>
      </c>
      <c r="W3" s="25">
        <f t="shared" si="8"/>
        <v>-1.123904488</v>
      </c>
      <c r="X3" s="26"/>
    </row>
    <row r="4">
      <c r="A4" s="11" t="s">
        <v>27</v>
      </c>
      <c r="B4" s="27" t="s">
        <v>28</v>
      </c>
      <c r="C4" s="11" t="s">
        <v>29</v>
      </c>
      <c r="D4" s="13">
        <f t="array" ref="D4">XLOOKUP(B4,'Calculations As per GA Data'!B22:B143,'Calculations As per GA Data'!G22:G143)</f>
        <v>157680.9988</v>
      </c>
      <c r="E4" s="14">
        <v>1348.0</v>
      </c>
      <c r="F4" s="15">
        <f t="shared" si="1"/>
        <v>1142.372881</v>
      </c>
      <c r="G4" s="16">
        <v>4.75</v>
      </c>
      <c r="H4" s="13">
        <f t="array" ref="H4">XLOOKUP(B4,'Discount calculation'!A:A,'Discount calculation'!D:D)</f>
        <v>17.37052336</v>
      </c>
      <c r="I4" s="13">
        <f t="shared" si="2"/>
        <v>1120.252358</v>
      </c>
      <c r="J4" s="29">
        <v>238.12</v>
      </c>
      <c r="K4" s="18">
        <f t="shared" si="3"/>
        <v>882.132358</v>
      </c>
      <c r="L4" s="28">
        <v>14.5</v>
      </c>
      <c r="M4" s="20">
        <v>7.52</v>
      </c>
      <c r="N4" s="21">
        <v>189.10500000000002</v>
      </c>
      <c r="O4" s="22">
        <v>4.55</v>
      </c>
      <c r="P4" s="23">
        <f t="shared" si="4"/>
        <v>666.457358</v>
      </c>
      <c r="Q4" s="24">
        <f t="array" ref="Q4">XLOOKUP(B4,'Calculations As per GA Data'!B22:B143,'Calculations As per GA Data'!J22:J143)</f>
        <v>651.9626154</v>
      </c>
      <c r="R4" s="19">
        <f t="array" ref="R4">XLOOKUP(B4,'Calculations As per GA Data'!B22:B143,'Calculations As per GA Data'!F22:F143)</f>
        <v>122</v>
      </c>
      <c r="S4" s="23">
        <f t="shared" si="5"/>
        <v>14.49474258</v>
      </c>
      <c r="T4" s="25">
        <f t="shared" si="6"/>
        <v>0.01293881908</v>
      </c>
      <c r="U4" s="17">
        <v>229.0</v>
      </c>
      <c r="V4" s="23">
        <f t="shared" si="7"/>
        <v>-214.5052574</v>
      </c>
      <c r="W4" s="25">
        <f t="shared" si="8"/>
        <v>-0.1914794072</v>
      </c>
      <c r="X4" s="26"/>
    </row>
    <row r="5">
      <c r="A5" s="29" t="s">
        <v>30</v>
      </c>
      <c r="B5" s="27" t="s">
        <v>31</v>
      </c>
      <c r="C5" s="29" t="s">
        <v>30</v>
      </c>
      <c r="D5" s="13">
        <f t="array" ref="D5">XLOOKUP(B5,'Calculations As per GA Data'!B23:B144,'Calculations As per GA Data'!G23:G144)</f>
        <v>113539.9991</v>
      </c>
      <c r="E5" s="30">
        <v>649.0</v>
      </c>
      <c r="F5" s="15">
        <f t="shared" si="1"/>
        <v>550</v>
      </c>
      <c r="G5" s="16">
        <v>4.75</v>
      </c>
      <c r="H5" s="13">
        <f t="array" ref="H5">XLOOKUP(B5,'Discount calculation'!A:A,'Discount calculation'!D:D)</f>
        <v>8.173880903</v>
      </c>
      <c r="I5" s="13">
        <f t="shared" si="2"/>
        <v>537.0761191</v>
      </c>
      <c r="J5" s="29">
        <v>70.1</v>
      </c>
      <c r="K5" s="18">
        <f t="shared" si="3"/>
        <v>466.9761191</v>
      </c>
      <c r="L5" s="29">
        <v>12.5</v>
      </c>
      <c r="M5" s="20">
        <v>7.52</v>
      </c>
      <c r="N5" s="21">
        <v>171.3469375</v>
      </c>
      <c r="O5" s="22">
        <v>4.55</v>
      </c>
      <c r="P5" s="23">
        <f t="shared" si="4"/>
        <v>271.0591816</v>
      </c>
      <c r="Q5" s="24">
        <f t="array" ref="Q5">XLOOKUP(B5,'Calculations As per GA Data'!B23:B144,'Calculations As per GA Data'!J23:J144)</f>
        <v>1115.284958</v>
      </c>
      <c r="R5" s="19">
        <f t="array" ref="R5">XLOOKUP(B5,'Calculations As per GA Data'!B23:B144,'Calculations As per GA Data'!F23:F144)</f>
        <v>160</v>
      </c>
      <c r="S5" s="23">
        <f t="shared" si="5"/>
        <v>-844.2257769</v>
      </c>
      <c r="T5" s="25">
        <f t="shared" si="6"/>
        <v>-1.571892227</v>
      </c>
      <c r="U5" s="17">
        <v>229.0</v>
      </c>
      <c r="V5" s="23">
        <f t="shared" si="7"/>
        <v>-1073.225777</v>
      </c>
      <c r="W5" s="25">
        <f t="shared" si="8"/>
        <v>-1.998274991</v>
      </c>
      <c r="X5" s="26"/>
    </row>
    <row r="6">
      <c r="A6" s="11" t="s">
        <v>32</v>
      </c>
      <c r="B6" s="27" t="s">
        <v>33</v>
      </c>
      <c r="C6" s="11" t="s">
        <v>32</v>
      </c>
      <c r="D6" s="13">
        <f t="array" ref="D6">XLOOKUP(B6,'Calculations As per GA Data'!B24:B145,'Calculations As per GA Data'!G24:G145)</f>
        <v>101319.0012</v>
      </c>
      <c r="E6" s="14">
        <v>599.0</v>
      </c>
      <c r="F6" s="15">
        <f t="shared" si="1"/>
        <v>507.6271186</v>
      </c>
      <c r="G6" s="16">
        <v>4.75</v>
      </c>
      <c r="H6" s="13">
        <f t="array" ref="H6">XLOOKUP(B6,'Discount calculation'!A:A,'Discount calculation'!D:D)</f>
        <v>6.526096423</v>
      </c>
      <c r="I6" s="13">
        <f t="shared" si="2"/>
        <v>496.3510222</v>
      </c>
      <c r="J6" s="11">
        <v>89.33</v>
      </c>
      <c r="K6" s="18">
        <f t="shared" si="3"/>
        <v>407.0210222</v>
      </c>
      <c r="L6" s="11">
        <v>6.5</v>
      </c>
      <c r="M6" s="20">
        <v>7.52</v>
      </c>
      <c r="N6" s="21">
        <v>176.04228070175438</v>
      </c>
      <c r="O6" s="22">
        <v>4.55</v>
      </c>
      <c r="P6" s="23">
        <f t="shared" si="4"/>
        <v>212.4087415</v>
      </c>
      <c r="Q6" s="24">
        <f t="array" ref="Q6">XLOOKUP(B6,'Calculations As per GA Data'!B24:B145,'Calculations As per GA Data'!J24:J145)</f>
        <v>460.1755658</v>
      </c>
      <c r="R6" s="19">
        <f t="array" ref="R6">XLOOKUP(B6,'Calculations As per GA Data'!B24:B145,'Calculations As per GA Data'!F24:F145)</f>
        <v>171</v>
      </c>
      <c r="S6" s="23">
        <f t="shared" si="5"/>
        <v>-247.7668243</v>
      </c>
      <c r="T6" s="25">
        <f t="shared" si="6"/>
        <v>-0.4991766173</v>
      </c>
      <c r="U6" s="17">
        <v>229.0</v>
      </c>
      <c r="V6" s="23">
        <f t="shared" si="7"/>
        <v>-476.7668243</v>
      </c>
      <c r="W6" s="25">
        <f t="shared" si="8"/>
        <v>-0.9605436534</v>
      </c>
      <c r="X6" s="26"/>
    </row>
    <row r="7">
      <c r="A7" s="11" t="s">
        <v>34</v>
      </c>
      <c r="B7" s="27" t="s">
        <v>35</v>
      </c>
      <c r="C7" s="11" t="s">
        <v>29</v>
      </c>
      <c r="D7" s="13">
        <f t="array" ref="D7">XLOOKUP(B7,'Calculations As per GA Data'!B25:B146,'Calculations As per GA Data'!G25:G146)</f>
        <v>79281.00042</v>
      </c>
      <c r="E7" s="30">
        <v>1098.0</v>
      </c>
      <c r="F7" s="15">
        <f t="shared" si="1"/>
        <v>930.5084746</v>
      </c>
      <c r="G7" s="16">
        <v>4.75</v>
      </c>
      <c r="H7" s="13">
        <f t="array" ref="H7">XLOOKUP(B7,'Discount calculation'!A:A,'Discount calculation'!D:D)</f>
        <v>12.23643875</v>
      </c>
      <c r="I7" s="13">
        <f t="shared" si="2"/>
        <v>913.5220358</v>
      </c>
      <c r="J7" s="29">
        <v>117.5</v>
      </c>
      <c r="K7" s="18">
        <f t="shared" si="3"/>
        <v>796.0220358</v>
      </c>
      <c r="L7" s="29">
        <v>11.5</v>
      </c>
      <c r="M7" s="20">
        <v>7.52</v>
      </c>
      <c r="N7" s="21">
        <v>153.54426666666666</v>
      </c>
      <c r="O7" s="22">
        <v>4.55</v>
      </c>
      <c r="P7" s="23">
        <f t="shared" si="4"/>
        <v>618.9077692</v>
      </c>
      <c r="Q7" s="24">
        <f t="array" ref="Q7">XLOOKUP(B7,'Calculations As per GA Data'!B25:B146,'Calculations As per GA Data'!J25:J146)</f>
        <v>477.9388195</v>
      </c>
      <c r="R7" s="19">
        <f t="array" ref="R7">XLOOKUP(B7,'Calculations As per GA Data'!B25:B146,'Calculations As per GA Data'!F25:F146)</f>
        <v>75</v>
      </c>
      <c r="S7" s="23">
        <f t="shared" si="5"/>
        <v>140.9689497</v>
      </c>
      <c r="T7" s="25">
        <f t="shared" si="6"/>
        <v>0.1543136828</v>
      </c>
      <c r="U7" s="17">
        <v>229.0</v>
      </c>
      <c r="V7" s="23">
        <f t="shared" si="7"/>
        <v>-88.03105031</v>
      </c>
      <c r="W7" s="25">
        <f t="shared" si="8"/>
        <v>-0.09636445193</v>
      </c>
      <c r="X7" s="26"/>
    </row>
    <row r="8">
      <c r="A8" s="11" t="s">
        <v>36</v>
      </c>
      <c r="B8" s="27" t="s">
        <v>37</v>
      </c>
      <c r="C8" s="11" t="s">
        <v>38</v>
      </c>
      <c r="D8" s="13">
        <f t="array" ref="D8">XLOOKUP(B8,'Calculations As per GA Data'!B26:B147,'Calculations As per GA Data'!G26:G147)</f>
        <v>70820.99938</v>
      </c>
      <c r="E8" s="14">
        <v>549.0</v>
      </c>
      <c r="F8" s="15">
        <f t="shared" si="1"/>
        <v>465.2542373</v>
      </c>
      <c r="G8" s="16">
        <v>4.75</v>
      </c>
      <c r="H8" s="13">
        <f t="array" ref="H8">XLOOKUP(B8,'Discount calculation'!A:A,'Discount calculation'!D:D)</f>
        <v>6.07047619</v>
      </c>
      <c r="I8" s="13">
        <f t="shared" si="2"/>
        <v>454.4337611</v>
      </c>
      <c r="J8" s="11">
        <v>65.5</v>
      </c>
      <c r="K8" s="18">
        <f t="shared" si="3"/>
        <v>388.9337611</v>
      </c>
      <c r="L8" s="11">
        <v>5.0</v>
      </c>
      <c r="M8" s="20">
        <v>7.52</v>
      </c>
      <c r="N8" s="21">
        <v>96.50767441860465</v>
      </c>
      <c r="O8" s="22">
        <v>4.55</v>
      </c>
      <c r="P8" s="23">
        <f t="shared" si="4"/>
        <v>275.3560867</v>
      </c>
      <c r="Q8" s="24">
        <f t="array" ref="Q8">XLOOKUP(B8,'Calculations As per GA Data'!B26:B147,'Calculations As per GA Data'!J26:J147)</f>
        <v>914.4734824</v>
      </c>
      <c r="R8" s="19">
        <f t="array" ref="R8">XLOOKUP(B8,'Calculations As per GA Data'!B26:B147,'Calculations As per GA Data'!F26:F147)</f>
        <v>129</v>
      </c>
      <c r="S8" s="23">
        <f t="shared" si="5"/>
        <v>-639.1173958</v>
      </c>
      <c r="T8" s="25">
        <f t="shared" si="6"/>
        <v>-1.40640386</v>
      </c>
      <c r="U8" s="17">
        <v>229.0</v>
      </c>
      <c r="V8" s="23">
        <f t="shared" si="7"/>
        <v>-868.1173958</v>
      </c>
      <c r="W8" s="25">
        <f t="shared" si="8"/>
        <v>-1.910327687</v>
      </c>
      <c r="X8" s="26"/>
    </row>
    <row r="9">
      <c r="A9" s="11" t="s">
        <v>39</v>
      </c>
      <c r="B9" s="27" t="s">
        <v>40</v>
      </c>
      <c r="C9" s="11" t="s">
        <v>29</v>
      </c>
      <c r="D9" s="13">
        <f t="array" ref="D9">XLOOKUP(B9,'Calculations As per GA Data'!B27:B148,'Calculations As per GA Data'!G27:G148)</f>
        <v>81477.0002</v>
      </c>
      <c r="E9" s="14">
        <v>1797.0</v>
      </c>
      <c r="F9" s="15">
        <f t="shared" si="1"/>
        <v>1522.881356</v>
      </c>
      <c r="G9" s="16">
        <v>4.75</v>
      </c>
      <c r="H9" s="13">
        <f t="array" ref="H9">XLOOKUP(B9,'Discount calculation'!A:A,'Discount calculation'!D:D)</f>
        <v>30.1056</v>
      </c>
      <c r="I9" s="13">
        <f t="shared" si="2"/>
        <v>1488.025756</v>
      </c>
      <c r="J9" s="11">
        <v>254.99</v>
      </c>
      <c r="K9" s="18">
        <f t="shared" si="3"/>
        <v>1233.035756</v>
      </c>
      <c r="L9" s="11">
        <v>19.5</v>
      </c>
      <c r="M9" s="20">
        <v>7.52</v>
      </c>
      <c r="N9" s="21">
        <v>170.9991489361702</v>
      </c>
      <c r="O9" s="22">
        <v>4.55</v>
      </c>
      <c r="P9" s="23">
        <f t="shared" si="4"/>
        <v>1030.466607</v>
      </c>
      <c r="Q9" s="24">
        <f t="array" ref="Q9">XLOOKUP(B9,'Calculations As per GA Data'!B27:B148,'Calculations As per GA Data'!J27:J148)</f>
        <v>804.5970143</v>
      </c>
      <c r="R9" s="19">
        <f t="array" ref="R9">XLOOKUP(B9,'Calculations As per GA Data'!B27:B148,'Calculations As per GA Data'!F27:F148)</f>
        <v>47</v>
      </c>
      <c r="S9" s="23">
        <f t="shared" si="5"/>
        <v>225.8695927</v>
      </c>
      <c r="T9" s="25">
        <f t="shared" si="6"/>
        <v>0.1517914537</v>
      </c>
      <c r="U9" s="17">
        <v>229.0</v>
      </c>
      <c r="V9" s="23">
        <f t="shared" si="7"/>
        <v>-3.130407337</v>
      </c>
      <c r="W9" s="25">
        <f t="shared" si="8"/>
        <v>-0.002103731958</v>
      </c>
      <c r="X9" s="26"/>
    </row>
    <row r="10">
      <c r="A10" s="11" t="s">
        <v>41</v>
      </c>
      <c r="B10" s="27" t="s">
        <v>42</v>
      </c>
      <c r="C10" s="11" t="s">
        <v>29</v>
      </c>
      <c r="D10" s="13">
        <f t="array" ref="D10">XLOOKUP(B10,'Calculations As per GA Data'!B28:B149,'Calculations As per GA Data'!G28:G149)</f>
        <v>90842.00009</v>
      </c>
      <c r="E10" s="14">
        <v>1048.0</v>
      </c>
      <c r="F10" s="15">
        <f t="shared" si="1"/>
        <v>888.1355932</v>
      </c>
      <c r="G10" s="16">
        <v>4.75</v>
      </c>
      <c r="H10" s="13">
        <f t="array" ref="H10">XLOOKUP(B10,'Discount calculation'!A:A,'Discount calculation'!D:D)</f>
        <v>11.80547074</v>
      </c>
      <c r="I10" s="13">
        <f t="shared" si="2"/>
        <v>871.5801225</v>
      </c>
      <c r="J10" s="11">
        <v>165.73</v>
      </c>
      <c r="K10" s="18">
        <f t="shared" si="3"/>
        <v>705.8501225</v>
      </c>
      <c r="L10" s="11">
        <v>11.5</v>
      </c>
      <c r="M10" s="20">
        <v>7.52</v>
      </c>
      <c r="N10" s="21">
        <v>142.47577777777778</v>
      </c>
      <c r="O10" s="22">
        <v>4.55</v>
      </c>
      <c r="P10" s="23">
        <f t="shared" si="4"/>
        <v>539.8043447</v>
      </c>
      <c r="Q10" s="24">
        <f t="array" ref="Q10">XLOOKUP(B10,'Calculations As per GA Data'!B28:B149,'Calculations As per GA Data'!J28:J149)</f>
        <v>503.2325801</v>
      </c>
      <c r="R10" s="19">
        <f t="array" ref="R10">XLOOKUP(B10,'Calculations As per GA Data'!B28:B149,'Calculations As per GA Data'!F28:F149)</f>
        <v>90</v>
      </c>
      <c r="S10" s="23">
        <f t="shared" si="5"/>
        <v>36.57176464</v>
      </c>
      <c r="T10" s="25">
        <f t="shared" si="6"/>
        <v>0.04196030141</v>
      </c>
      <c r="U10" s="17">
        <v>229.0</v>
      </c>
      <c r="V10" s="23">
        <f t="shared" si="7"/>
        <v>-192.4282354</v>
      </c>
      <c r="W10" s="25">
        <f t="shared" si="8"/>
        <v>-0.2207808902</v>
      </c>
      <c r="X10" s="26"/>
    </row>
    <row r="11">
      <c r="A11" s="11" t="s">
        <v>43</v>
      </c>
      <c r="B11" s="27" t="s">
        <v>44</v>
      </c>
      <c r="C11" s="11" t="s">
        <v>43</v>
      </c>
      <c r="D11" s="13">
        <f t="array" ref="D11">XLOOKUP(B11,'Calculations As per GA Data'!B29:B150,'Calculations As per GA Data'!G29:G150)</f>
        <v>63588.9999</v>
      </c>
      <c r="E11" s="14">
        <v>649.0</v>
      </c>
      <c r="F11" s="15">
        <f t="shared" si="1"/>
        <v>550</v>
      </c>
      <c r="G11" s="16">
        <v>4.75</v>
      </c>
      <c r="H11" s="13">
        <f t="array" ref="H11">XLOOKUP(B11,'Discount calculation'!A:A,'Discount calculation'!D:D)</f>
        <v>9.486153846</v>
      </c>
      <c r="I11" s="13">
        <f t="shared" si="2"/>
        <v>535.7638462</v>
      </c>
      <c r="J11" s="11">
        <v>62.96</v>
      </c>
      <c r="K11" s="18">
        <f t="shared" si="3"/>
        <v>472.8038462</v>
      </c>
      <c r="L11" s="11">
        <v>6.5</v>
      </c>
      <c r="M11" s="20">
        <v>7.52</v>
      </c>
      <c r="N11" s="21">
        <v>139.41584158415841</v>
      </c>
      <c r="O11" s="22">
        <v>4.55</v>
      </c>
      <c r="P11" s="23">
        <f t="shared" si="4"/>
        <v>314.8180046</v>
      </c>
      <c r="Q11" s="24">
        <f t="array" ref="Q11">XLOOKUP(B11,'Calculations As per GA Data'!B29:B150,'Calculations As per GA Data'!J29:J150)</f>
        <v>478.3649298</v>
      </c>
      <c r="R11" s="19">
        <f t="array" ref="R11">XLOOKUP(B11,'Calculations As per GA Data'!B29:B150,'Calculations As per GA Data'!F29:F150)</f>
        <v>101</v>
      </c>
      <c r="S11" s="23">
        <f t="shared" si="5"/>
        <v>-163.5469253</v>
      </c>
      <c r="T11" s="25">
        <f t="shared" si="6"/>
        <v>-0.3052593534</v>
      </c>
      <c r="U11" s="17">
        <v>229.0</v>
      </c>
      <c r="V11" s="23">
        <f t="shared" si="7"/>
        <v>-392.5469253</v>
      </c>
      <c r="W11" s="25">
        <f t="shared" si="8"/>
        <v>-0.7326864776</v>
      </c>
      <c r="X11" s="26"/>
    </row>
    <row r="12">
      <c r="A12" s="11" t="s">
        <v>45</v>
      </c>
      <c r="B12" s="27" t="s">
        <v>46</v>
      </c>
      <c r="C12" s="11" t="s">
        <v>45</v>
      </c>
      <c r="D12" s="13">
        <f t="array" ref="D12">XLOOKUP(B12,'Calculations As per GA Data'!B30:B151,'Calculations As per GA Data'!G30:G151)</f>
        <v>50327.99957</v>
      </c>
      <c r="E12" s="14">
        <v>699.0</v>
      </c>
      <c r="F12" s="15">
        <f t="shared" si="1"/>
        <v>592.3728814</v>
      </c>
      <c r="G12" s="16">
        <v>4.75</v>
      </c>
      <c r="H12" s="13">
        <f t="array" ref="H12">XLOOKUP(B12,'Discount calculation'!A:A,'Discount calculation'!D:D)</f>
        <v>9.634794239</v>
      </c>
      <c r="I12" s="13">
        <f t="shared" si="2"/>
        <v>577.9880871</v>
      </c>
      <c r="J12" s="11">
        <v>131.0</v>
      </c>
      <c r="K12" s="18">
        <f t="shared" si="3"/>
        <v>446.9880871</v>
      </c>
      <c r="L12" s="11">
        <v>8.5</v>
      </c>
      <c r="M12" s="20">
        <v>7.52</v>
      </c>
      <c r="N12" s="21">
        <v>145.18388888888887</v>
      </c>
      <c r="O12" s="22">
        <v>4.55</v>
      </c>
      <c r="P12" s="23">
        <f t="shared" si="4"/>
        <v>281.2341982</v>
      </c>
      <c r="Q12" s="24">
        <f t="array" ref="Q12">XLOOKUP(B12,'Calculations As per GA Data'!B30:B151,'Calculations As per GA Data'!J30:J151)</f>
        <v>338.8231362</v>
      </c>
      <c r="R12" s="19">
        <f t="array" ref="R12">XLOOKUP(B12,'Calculations As per GA Data'!B30:B151,'Calculations As per GA Data'!F30:F151)</f>
        <v>72</v>
      </c>
      <c r="S12" s="23">
        <f t="shared" si="5"/>
        <v>-57.58893801</v>
      </c>
      <c r="T12" s="25">
        <f t="shared" si="6"/>
        <v>-0.09963689442</v>
      </c>
      <c r="U12" s="17">
        <v>229.0</v>
      </c>
      <c r="V12" s="23">
        <f t="shared" si="7"/>
        <v>-286.588938</v>
      </c>
      <c r="W12" s="25">
        <f t="shared" si="8"/>
        <v>-0.495838832</v>
      </c>
      <c r="X12" s="26"/>
    </row>
    <row r="13">
      <c r="A13" s="11" t="s">
        <v>47</v>
      </c>
      <c r="B13" s="27" t="s">
        <v>48</v>
      </c>
      <c r="C13" s="11" t="s">
        <v>29</v>
      </c>
      <c r="D13" s="13">
        <f t="array" ref="D13">XLOOKUP(B13,'Calculations As per GA Data'!B31:B152,'Calculations As per GA Data'!G31:G152)</f>
        <v>45782.0002</v>
      </c>
      <c r="E13" s="30">
        <v>1398.0</v>
      </c>
      <c r="F13" s="15">
        <f t="shared" si="1"/>
        <v>1184.745763</v>
      </c>
      <c r="G13" s="16">
        <v>4.75</v>
      </c>
      <c r="H13" s="13">
        <f t="array" ref="H13">XLOOKUP(B13,'Discount calculation'!A:A,'Discount calculation'!D:D)</f>
        <v>22.65376543</v>
      </c>
      <c r="I13" s="13">
        <f t="shared" si="2"/>
        <v>1157.341997</v>
      </c>
      <c r="J13" s="29">
        <v>182.0</v>
      </c>
      <c r="K13" s="18">
        <f t="shared" si="3"/>
        <v>975.3419973</v>
      </c>
      <c r="L13" s="29">
        <v>17.5</v>
      </c>
      <c r="M13" s="20">
        <v>7.52</v>
      </c>
      <c r="N13" s="21">
        <v>145.05882352941177</v>
      </c>
      <c r="O13" s="22">
        <v>4.55</v>
      </c>
      <c r="P13" s="23">
        <f t="shared" si="4"/>
        <v>800.7131738</v>
      </c>
      <c r="Q13" s="24">
        <f t="array" ref="Q13">XLOOKUP(B13,'Calculations As per GA Data'!B31:B152,'Calculations As per GA Data'!J31:J152)</f>
        <v>966.3371308</v>
      </c>
      <c r="R13" s="19">
        <f t="array" ref="R13">XLOOKUP(B13,'Calculations As per GA Data'!B31:B152,'Calculations As per GA Data'!F31:F152)</f>
        <v>34</v>
      </c>
      <c r="S13" s="23">
        <f t="shared" si="5"/>
        <v>-165.6239571</v>
      </c>
      <c r="T13" s="25">
        <f t="shared" si="6"/>
        <v>-0.1431071865</v>
      </c>
      <c r="U13" s="17">
        <v>229.0</v>
      </c>
      <c r="V13" s="23">
        <f t="shared" si="7"/>
        <v>-394.6239571</v>
      </c>
      <c r="W13" s="25">
        <f t="shared" si="8"/>
        <v>-0.3409743689</v>
      </c>
      <c r="X13" s="26"/>
    </row>
    <row r="14">
      <c r="A14" s="11" t="s">
        <v>49</v>
      </c>
      <c r="B14" s="27" t="s">
        <v>50</v>
      </c>
      <c r="C14" s="11" t="s">
        <v>29</v>
      </c>
      <c r="D14" s="13">
        <f t="array" ref="D14">XLOOKUP(B14,'Calculations As per GA Data'!B32:B153,'Calculations As per GA Data'!G32:G153)</f>
        <v>26410.99985</v>
      </c>
      <c r="E14" s="30">
        <v>948.0</v>
      </c>
      <c r="F14" s="15">
        <f t="shared" si="1"/>
        <v>803.3898305</v>
      </c>
      <c r="G14" s="16">
        <v>4.75</v>
      </c>
      <c r="H14" s="13">
        <f t="array" ref="H14">XLOOKUP(B14,'Discount calculation'!A:A,'Discount calculation'!D:D)</f>
        <v>12.58181287</v>
      </c>
      <c r="I14" s="13">
        <f t="shared" si="2"/>
        <v>786.0580176</v>
      </c>
      <c r="J14" s="29">
        <v>145.16</v>
      </c>
      <c r="K14" s="18">
        <f t="shared" si="3"/>
        <v>640.8980176</v>
      </c>
      <c r="L14" s="29">
        <v>13.5</v>
      </c>
      <c r="M14" s="20">
        <v>7.52</v>
      </c>
      <c r="N14" s="21">
        <v>138.9458620689655</v>
      </c>
      <c r="O14" s="22">
        <v>4.55</v>
      </c>
      <c r="P14" s="23">
        <f t="shared" si="4"/>
        <v>476.3821556</v>
      </c>
      <c r="Q14" s="24">
        <f t="array" ref="Q14">XLOOKUP(B14,'Calculations As per GA Data'!B32:B153,'Calculations As per GA Data'!J32:J153)</f>
        <v>946.6609727</v>
      </c>
      <c r="R14" s="19">
        <f t="array" ref="R14">XLOOKUP(B14,'Calculations As per GA Data'!B32:B153,'Calculations As per GA Data'!F32:F153)</f>
        <v>29</v>
      </c>
      <c r="S14" s="23">
        <f t="shared" si="5"/>
        <v>-470.2788171</v>
      </c>
      <c r="T14" s="25">
        <f t="shared" si="6"/>
        <v>-0.5982749448</v>
      </c>
      <c r="U14" s="17">
        <v>229.0</v>
      </c>
      <c r="V14" s="23">
        <f t="shared" si="7"/>
        <v>-699.2788171</v>
      </c>
      <c r="W14" s="25">
        <f t="shared" si="8"/>
        <v>-0.8896020414</v>
      </c>
      <c r="X14" s="26"/>
    </row>
    <row r="15">
      <c r="A15" s="11" t="s">
        <v>51</v>
      </c>
      <c r="B15" s="27" t="s">
        <v>52</v>
      </c>
      <c r="C15" s="11" t="s">
        <v>29</v>
      </c>
      <c r="D15" s="13">
        <f t="array" ref="D15">XLOOKUP(B15,'Calculations As per GA Data'!B33:B154,'Calculations As per GA Data'!G33:G154)</f>
        <v>80419.00022</v>
      </c>
      <c r="E15" s="14">
        <v>2047.0</v>
      </c>
      <c r="F15" s="15">
        <f t="shared" si="1"/>
        <v>1734.745763</v>
      </c>
      <c r="G15" s="16">
        <v>4.75</v>
      </c>
      <c r="H15" s="13">
        <f t="array" ref="H15">XLOOKUP(B15,'Discount calculation'!A:A,'Discount calculation'!D:D)</f>
        <v>32.65944206</v>
      </c>
      <c r="I15" s="13">
        <f t="shared" si="2"/>
        <v>1697.336321</v>
      </c>
      <c r="J15" s="11">
        <v>325.1</v>
      </c>
      <c r="K15" s="18">
        <f t="shared" si="3"/>
        <v>1372.236321</v>
      </c>
      <c r="L15" s="11">
        <v>23.0</v>
      </c>
      <c r="M15" s="20">
        <v>7.52</v>
      </c>
      <c r="N15" s="21">
        <v>241.27048780487806</v>
      </c>
      <c r="O15" s="22">
        <v>4.55</v>
      </c>
      <c r="P15" s="23">
        <f t="shared" si="4"/>
        <v>1095.895833</v>
      </c>
      <c r="Q15" s="24">
        <f t="array" ref="Q15">XLOOKUP(B15,'Calculations As per GA Data'!B33:B154,'Calculations As per GA Data'!J33:J154)</f>
        <v>774.8343478</v>
      </c>
      <c r="R15" s="19">
        <f t="array" ref="R15">XLOOKUP(B15,'Calculations As per GA Data'!B33:B154,'Calculations As per GA Data'!F33:F154)</f>
        <v>41</v>
      </c>
      <c r="S15" s="23">
        <f t="shared" si="5"/>
        <v>321.061485</v>
      </c>
      <c r="T15" s="25">
        <f t="shared" si="6"/>
        <v>0.1891560801</v>
      </c>
      <c r="U15" s="17">
        <v>229.0</v>
      </c>
      <c r="V15" s="23">
        <f t="shared" si="7"/>
        <v>92.06148501</v>
      </c>
      <c r="W15" s="25">
        <f t="shared" si="8"/>
        <v>0.05423879987</v>
      </c>
      <c r="X15" s="26"/>
    </row>
    <row r="16">
      <c r="A16" s="11" t="s">
        <v>53</v>
      </c>
      <c r="B16" s="27" t="s">
        <v>54</v>
      </c>
      <c r="C16" s="11" t="s">
        <v>29</v>
      </c>
      <c r="D16" s="13">
        <f t="array" ref="D16">XLOOKUP(B16,'Calculations As per GA Data'!B34:B155,'Calculations As per GA Data'!G34:G155)</f>
        <v>38622.00016</v>
      </c>
      <c r="E16" s="30">
        <v>1598.0</v>
      </c>
      <c r="F16" s="15">
        <f t="shared" si="1"/>
        <v>1354.237288</v>
      </c>
      <c r="G16" s="16">
        <v>4.75</v>
      </c>
      <c r="H16" s="13">
        <f t="array" ref="H16">XLOOKUP(B16,'Discount calculation'!A:A,'Discount calculation'!D:D)</f>
        <v>31.5922807</v>
      </c>
      <c r="I16" s="13">
        <f t="shared" si="2"/>
        <v>1317.895007</v>
      </c>
      <c r="J16" s="29">
        <v>263.33</v>
      </c>
      <c r="K16" s="18">
        <f t="shared" si="3"/>
        <v>1054.565007</v>
      </c>
      <c r="L16" s="29">
        <v>21.0</v>
      </c>
      <c r="M16" s="20">
        <v>7.52</v>
      </c>
      <c r="N16" s="21">
        <v>250.4948</v>
      </c>
      <c r="O16" s="22">
        <v>4.55</v>
      </c>
      <c r="P16" s="23">
        <f t="shared" si="4"/>
        <v>771.0002074</v>
      </c>
      <c r="Q16" s="24">
        <f t="array" ref="Q16">XLOOKUP(B16,'Calculations As per GA Data'!B34:B155,'Calculations As per GA Data'!J34:J155)</f>
        <v>990.7603774</v>
      </c>
      <c r="R16" s="19">
        <f t="array" ref="R16">XLOOKUP(B16,'Calculations As per GA Data'!B34:B155,'Calculations As per GA Data'!F34:F155)</f>
        <v>25</v>
      </c>
      <c r="S16" s="23">
        <f t="shared" si="5"/>
        <v>-219.76017</v>
      </c>
      <c r="T16" s="25">
        <f t="shared" si="6"/>
        <v>-0.1667508935</v>
      </c>
      <c r="U16" s="17">
        <v>229.0</v>
      </c>
      <c r="V16" s="23">
        <f t="shared" si="7"/>
        <v>-448.76017</v>
      </c>
      <c r="W16" s="25">
        <f t="shared" si="8"/>
        <v>-0.3405128386</v>
      </c>
      <c r="X16" s="26"/>
    </row>
    <row r="17">
      <c r="A17" s="11" t="s">
        <v>55</v>
      </c>
      <c r="B17" s="27" t="s">
        <v>56</v>
      </c>
      <c r="C17" s="11" t="s">
        <v>29</v>
      </c>
      <c r="D17" s="13">
        <f t="array" ref="D17">XLOOKUP(B17,'Calculations As per GA Data'!B35:B156,'Calculations As per GA Data'!G35:G156)</f>
        <v>15344.99998</v>
      </c>
      <c r="E17" s="14">
        <v>1248.0</v>
      </c>
      <c r="F17" s="15">
        <f t="shared" si="1"/>
        <v>1057.627119</v>
      </c>
      <c r="G17" s="16">
        <v>4.75</v>
      </c>
      <c r="H17" s="13">
        <f t="array" ref="H17">XLOOKUP(B17,'Discount calculation'!A:A,'Discount calculation'!D:D)</f>
        <v>17.7571831</v>
      </c>
      <c r="I17" s="13">
        <f t="shared" si="2"/>
        <v>1035.119936</v>
      </c>
      <c r="J17" s="11">
        <v>196.5</v>
      </c>
      <c r="K17" s="18">
        <f t="shared" si="3"/>
        <v>838.6199355</v>
      </c>
      <c r="L17" s="11">
        <v>13.5</v>
      </c>
      <c r="M17" s="20">
        <v>7.52</v>
      </c>
      <c r="N17" s="21">
        <v>345.4791666666667</v>
      </c>
      <c r="O17" s="22">
        <v>4.55</v>
      </c>
      <c r="P17" s="23">
        <f t="shared" si="4"/>
        <v>467.5707689</v>
      </c>
      <c r="Q17" s="24">
        <f t="array" ref="Q17">XLOOKUP(B17,'Calculations As per GA Data'!B35:B156,'Calculations As per GA Data'!J35:J156)</f>
        <v>1554.43372</v>
      </c>
      <c r="R17" s="19">
        <f t="array" ref="R17">XLOOKUP(B17,'Calculations As per GA Data'!B35:B156,'Calculations As per GA Data'!F35:F156)</f>
        <v>12</v>
      </c>
      <c r="S17" s="23">
        <f t="shared" si="5"/>
        <v>-1086.862951</v>
      </c>
      <c r="T17" s="25">
        <f t="shared" si="6"/>
        <v>-1.049987459</v>
      </c>
      <c r="U17" s="17">
        <v>229.0</v>
      </c>
      <c r="V17" s="23">
        <f t="shared" si="7"/>
        <v>-1315.862951</v>
      </c>
      <c r="W17" s="25">
        <f t="shared" si="8"/>
        <v>-1.271217861</v>
      </c>
      <c r="X17" s="26"/>
    </row>
    <row r="18">
      <c r="A18" s="11" t="s">
        <v>57</v>
      </c>
      <c r="B18" s="27" t="s">
        <v>58</v>
      </c>
      <c r="C18" s="11" t="s">
        <v>57</v>
      </c>
      <c r="D18" s="13">
        <f t="array" ref="D18">XLOOKUP(B18,'Calculations As per GA Data'!B36:B157,'Calculations As per GA Data'!G36:G157)</f>
        <v>24159.8503</v>
      </c>
      <c r="E18" s="14">
        <v>399.0</v>
      </c>
      <c r="F18" s="15">
        <f t="shared" si="1"/>
        <v>338.1355932</v>
      </c>
      <c r="G18" s="16">
        <v>4.75</v>
      </c>
      <c r="H18" s="13">
        <f t="array" ref="H18">XLOOKUP(B18,'Discount calculation'!A:A,'Discount calculation'!D:D)</f>
        <v>4.335368171</v>
      </c>
      <c r="I18" s="13">
        <f t="shared" si="2"/>
        <v>329.050225</v>
      </c>
      <c r="J18" s="11">
        <v>54.0</v>
      </c>
      <c r="K18" s="18">
        <f t="shared" si="3"/>
        <v>275.050225</v>
      </c>
      <c r="L18" s="11">
        <v>8.5</v>
      </c>
      <c r="M18" s="20">
        <v>7.52</v>
      </c>
      <c r="N18" s="21">
        <v>96.73641791044777</v>
      </c>
      <c r="O18" s="22">
        <v>4.55</v>
      </c>
      <c r="P18" s="23">
        <f t="shared" si="4"/>
        <v>157.7438071</v>
      </c>
      <c r="Q18" s="24">
        <f t="array" ref="Q18">XLOOKUP(B18,'Calculations As per GA Data'!B36:B157,'Calculations As per GA Data'!J36:J157)</f>
        <v>334.1886702</v>
      </c>
      <c r="R18" s="19">
        <f t="array" ref="R18">XLOOKUP(B18,'Calculations As per GA Data'!B36:B157,'Calculations As per GA Data'!F36:F157)</f>
        <v>67</v>
      </c>
      <c r="S18" s="23">
        <f t="shared" si="5"/>
        <v>-176.4448631</v>
      </c>
      <c r="T18" s="25">
        <f t="shared" si="6"/>
        <v>-0.5362247147</v>
      </c>
      <c r="U18" s="17">
        <v>229.0</v>
      </c>
      <c r="V18" s="23">
        <f t="shared" si="7"/>
        <v>-405.4448631</v>
      </c>
      <c r="W18" s="25">
        <f t="shared" si="8"/>
        <v>-1.232167105</v>
      </c>
      <c r="X18" s="26"/>
    </row>
    <row r="19">
      <c r="A19" s="11" t="s">
        <v>59</v>
      </c>
      <c r="B19" s="27" t="s">
        <v>60</v>
      </c>
      <c r="C19" s="11" t="s">
        <v>59</v>
      </c>
      <c r="D19" s="13">
        <f t="array" ref="D19">XLOOKUP(B19,'Calculations As per GA Data'!B37:B158,'Calculations As per GA Data'!G37:G158)</f>
        <v>38751.50016</v>
      </c>
      <c r="E19" s="14">
        <v>799.0</v>
      </c>
      <c r="F19" s="15">
        <f t="shared" si="1"/>
        <v>677.1186441</v>
      </c>
      <c r="G19" s="16">
        <v>4.75</v>
      </c>
      <c r="H19" s="13">
        <f t="array" ref="H19">XLOOKUP(B19,'Discount calculation'!A:A,'Discount calculation'!D:D)</f>
        <v>12.82376147</v>
      </c>
      <c r="I19" s="13">
        <f t="shared" si="2"/>
        <v>659.5448826</v>
      </c>
      <c r="J19" s="11">
        <v>215.5</v>
      </c>
      <c r="K19" s="18">
        <f t="shared" si="3"/>
        <v>444.0448826</v>
      </c>
      <c r="L19" s="11">
        <v>5.0</v>
      </c>
      <c r="M19" s="20">
        <v>7.52</v>
      </c>
      <c r="N19" s="21">
        <v>109.919</v>
      </c>
      <c r="O19" s="22">
        <v>4.55</v>
      </c>
      <c r="P19" s="23">
        <f t="shared" si="4"/>
        <v>317.0558826</v>
      </c>
      <c r="Q19" s="24">
        <f t="array" ref="Q19">XLOOKUP(B19,'Calculations As per GA Data'!B37:B158,'Calculations As per GA Data'!J37:J158)</f>
        <v>322.7785866</v>
      </c>
      <c r="R19" s="19">
        <f t="array" ref="R19">XLOOKUP(B19,'Calculations As per GA Data'!B37:B158,'Calculations As per GA Data'!F37:F158)</f>
        <v>50</v>
      </c>
      <c r="S19" s="23">
        <f t="shared" si="5"/>
        <v>-5.722704013</v>
      </c>
      <c r="T19" s="25">
        <f t="shared" si="6"/>
        <v>-0.008676746895</v>
      </c>
      <c r="U19" s="17">
        <v>229.0</v>
      </c>
      <c r="V19" s="23">
        <f t="shared" si="7"/>
        <v>-234.722704</v>
      </c>
      <c r="W19" s="25">
        <f t="shared" si="8"/>
        <v>-0.3558858695</v>
      </c>
      <c r="X19" s="26"/>
    </row>
    <row r="20">
      <c r="A20" s="11" t="s">
        <v>61</v>
      </c>
      <c r="B20" s="27" t="s">
        <v>62</v>
      </c>
      <c r="C20" s="11" t="s">
        <v>61</v>
      </c>
      <c r="D20" s="13">
        <f t="array" ref="D20">XLOOKUP(B20,'Calculations As per GA Data'!B38:B159,'Calculations As per GA Data'!G38:G159)</f>
        <v>58561.99923</v>
      </c>
      <c r="E20" s="14">
        <v>699.0</v>
      </c>
      <c r="F20" s="15">
        <f t="shared" si="1"/>
        <v>592.3728814</v>
      </c>
      <c r="G20" s="16">
        <v>4.75</v>
      </c>
      <c r="H20" s="13">
        <f t="array" ref="H20">XLOOKUP(B20,'Discount calculation'!A:A,'Discount calculation'!D:D)</f>
        <v>7.162045929</v>
      </c>
      <c r="I20" s="13">
        <f t="shared" si="2"/>
        <v>580.4608354</v>
      </c>
      <c r="J20" s="11">
        <v>105.0</v>
      </c>
      <c r="K20" s="18">
        <f t="shared" si="3"/>
        <v>475.4608354</v>
      </c>
      <c r="L20" s="11">
        <v>8.5</v>
      </c>
      <c r="M20" s="20">
        <v>7.52</v>
      </c>
      <c r="N20" s="22" t="s">
        <v>63</v>
      </c>
      <c r="O20" s="22">
        <v>4.55</v>
      </c>
      <c r="P20" s="23">
        <f t="shared" si="4"/>
        <v>454.8908354</v>
      </c>
      <c r="Q20" s="24">
        <f t="array" ref="Q20">XLOOKUP(B20,'Calculations As per GA Data'!B38:B159,'Calculations As per GA Data'!J38:J159)</f>
        <v>857.3914551</v>
      </c>
      <c r="R20" s="19">
        <f t="array" ref="R20">XLOOKUP(B20,'Calculations As per GA Data'!B38:B159,'Calculations As per GA Data'!F38:F159)</f>
        <v>98</v>
      </c>
      <c r="S20" s="23">
        <f t="shared" si="5"/>
        <v>-402.5006197</v>
      </c>
      <c r="T20" s="25">
        <f t="shared" si="6"/>
        <v>-0.6934156365</v>
      </c>
      <c r="U20" s="17">
        <v>229.0</v>
      </c>
      <c r="V20" s="23">
        <f t="shared" si="7"/>
        <v>-631.5006197</v>
      </c>
      <c r="W20" s="25">
        <f t="shared" si="8"/>
        <v>-1.087929764</v>
      </c>
      <c r="X20" s="26"/>
    </row>
    <row r="21">
      <c r="A21" s="11" t="s">
        <v>64</v>
      </c>
      <c r="B21" s="27" t="s">
        <v>65</v>
      </c>
      <c r="C21" s="11" t="s">
        <v>64</v>
      </c>
      <c r="D21" s="13">
        <f t="array" ref="D21">XLOOKUP(B21,'Calculations As per GA Data'!B39:B160,'Calculations As per GA Data'!G39:G160)</f>
        <v>53294.9999</v>
      </c>
      <c r="E21" s="14">
        <v>899.0</v>
      </c>
      <c r="F21" s="15">
        <f t="shared" si="1"/>
        <v>761.8644068</v>
      </c>
      <c r="G21" s="16">
        <v>4.75</v>
      </c>
      <c r="H21" s="13">
        <f t="array" ref="H21">XLOOKUP(B21,'Discount calculation'!A:A,'Discount calculation'!D:D)</f>
        <v>11.63362445</v>
      </c>
      <c r="I21" s="13">
        <f t="shared" si="2"/>
        <v>745.4807823</v>
      </c>
      <c r="J21" s="11">
        <v>117.7</v>
      </c>
      <c r="K21" s="18">
        <f t="shared" si="3"/>
        <v>627.7807823</v>
      </c>
      <c r="L21" s="11">
        <v>9.5</v>
      </c>
      <c r="M21" s="20">
        <v>7.52</v>
      </c>
      <c r="N21" s="21">
        <v>198.64466666666667</v>
      </c>
      <c r="O21" s="22">
        <v>4.55</v>
      </c>
      <c r="P21" s="23">
        <f t="shared" si="4"/>
        <v>407.5661157</v>
      </c>
      <c r="Q21" s="24">
        <f t="array" ref="Q21">XLOOKUP(B21,'Calculations As per GA Data'!B39:B160,'Calculations As per GA Data'!J39:J160)</f>
        <v>460.9504728</v>
      </c>
      <c r="R21" s="19">
        <f t="array" ref="R21">XLOOKUP(B21,'Calculations As per GA Data'!B39:B160,'Calculations As per GA Data'!F39:F160)</f>
        <v>60</v>
      </c>
      <c r="S21" s="23">
        <f t="shared" si="5"/>
        <v>-53.38435715</v>
      </c>
      <c r="T21" s="25">
        <f t="shared" si="6"/>
        <v>-0.07161064164</v>
      </c>
      <c r="U21" s="17">
        <v>229.0</v>
      </c>
      <c r="V21" s="23">
        <f t="shared" si="7"/>
        <v>-282.3843572</v>
      </c>
      <c r="W21" s="25">
        <f t="shared" si="8"/>
        <v>-0.378794952</v>
      </c>
      <c r="X21" s="26"/>
    </row>
    <row r="22">
      <c r="A22" s="11" t="s">
        <v>66</v>
      </c>
      <c r="B22" s="27" t="s">
        <v>67</v>
      </c>
      <c r="C22" s="11" t="s">
        <v>29</v>
      </c>
      <c r="D22" s="13">
        <f t="array" ref="D22">XLOOKUP(B22,'Calculations As per GA Data'!B40:B161,'Calculations As per GA Data'!G40:G161)</f>
        <v>19003.9998</v>
      </c>
      <c r="E22" s="14">
        <v>1798.0</v>
      </c>
      <c r="F22" s="15">
        <f t="shared" si="1"/>
        <v>1523.728814</v>
      </c>
      <c r="G22" s="16">
        <v>4.75</v>
      </c>
      <c r="H22" s="13">
        <f t="array" ref="H22">XLOOKUP(B22,'Discount calculation'!A:A,'Discount calculation'!D:D)</f>
        <v>36.4946875</v>
      </c>
      <c r="I22" s="13">
        <f t="shared" si="2"/>
        <v>1482.484126</v>
      </c>
      <c r="J22" s="11">
        <v>256.82</v>
      </c>
      <c r="K22" s="18">
        <f t="shared" si="3"/>
        <v>1225.664126</v>
      </c>
      <c r="L22" s="11">
        <v>25.0</v>
      </c>
      <c r="M22" s="20">
        <v>7.52</v>
      </c>
      <c r="N22" s="21">
        <v>157.91</v>
      </c>
      <c r="O22" s="22">
        <v>4.55</v>
      </c>
      <c r="P22" s="23">
        <f t="shared" si="4"/>
        <v>1030.684126</v>
      </c>
      <c r="Q22" s="24">
        <f t="array" ref="Q22">XLOOKUP(B22,'Calculations As per GA Data'!B40:B161,'Calculations As per GA Data'!J40:J161)</f>
        <v>1065.632654</v>
      </c>
      <c r="R22" s="19">
        <f t="array" ref="R22">XLOOKUP(B22,'Calculations As per GA Data'!B40:B161,'Calculations As per GA Data'!F40:F161)</f>
        <v>11</v>
      </c>
      <c r="S22" s="23">
        <f t="shared" si="5"/>
        <v>-34.94852831</v>
      </c>
      <c r="T22" s="25">
        <f t="shared" si="6"/>
        <v>-0.02357430187</v>
      </c>
      <c r="U22" s="17">
        <v>229.0</v>
      </c>
      <c r="V22" s="23">
        <f t="shared" si="7"/>
        <v>-263.9485283</v>
      </c>
      <c r="W22" s="25">
        <f t="shared" si="8"/>
        <v>-0.1780447586</v>
      </c>
      <c r="X22" s="26"/>
    </row>
    <row r="23">
      <c r="A23" s="11" t="s">
        <v>68</v>
      </c>
      <c r="B23" s="27" t="s">
        <v>69</v>
      </c>
      <c r="C23" s="11" t="s">
        <v>68</v>
      </c>
      <c r="D23" s="13">
        <f t="array" ref="D23">XLOOKUP(B23,'Calculations As per GA Data'!B41:B162,'Calculations As per GA Data'!G41:G162)</f>
        <v>20025.39941</v>
      </c>
      <c r="E23" s="14">
        <v>449.0</v>
      </c>
      <c r="F23" s="15">
        <f t="shared" si="1"/>
        <v>380.5084746</v>
      </c>
      <c r="G23" s="16">
        <v>4.75</v>
      </c>
      <c r="H23" s="13">
        <f t="array" ref="H23">XLOOKUP(B23,'Discount calculation'!A:A,'Discount calculation'!D:D)</f>
        <v>7.327958333</v>
      </c>
      <c r="I23" s="13">
        <f t="shared" si="2"/>
        <v>368.4305162</v>
      </c>
      <c r="J23" s="11">
        <v>64.7</v>
      </c>
      <c r="K23" s="18">
        <f t="shared" si="3"/>
        <v>303.7305162</v>
      </c>
      <c r="L23" s="11">
        <v>5.5</v>
      </c>
      <c r="M23" s="20">
        <v>7.52</v>
      </c>
      <c r="N23" s="21">
        <v>100.73208333333334</v>
      </c>
      <c r="O23" s="22">
        <v>4.55</v>
      </c>
      <c r="P23" s="23">
        <f t="shared" si="4"/>
        <v>185.4284329</v>
      </c>
      <c r="Q23" s="24">
        <f t="array" ref="Q23">XLOOKUP(B23,'Calculations As per GA Data'!B41:B162,'Calculations As per GA Data'!J41:J162)</f>
        <v>816.8563354</v>
      </c>
      <c r="R23" s="19">
        <f t="array" ref="R23">XLOOKUP(B23,'Calculations As per GA Data'!B41:B162,'Calculations As per GA Data'!F41:F162)</f>
        <v>48</v>
      </c>
      <c r="S23" s="23">
        <f t="shared" si="5"/>
        <v>-631.4279025</v>
      </c>
      <c r="T23" s="25">
        <f t="shared" si="6"/>
        <v>-1.713831712</v>
      </c>
      <c r="U23" s="17">
        <v>229.0</v>
      </c>
      <c r="V23" s="23">
        <f t="shared" si="7"/>
        <v>-860.4279025</v>
      </c>
      <c r="W23" s="25">
        <f t="shared" si="8"/>
        <v>-2.335387175</v>
      </c>
      <c r="X23" s="26"/>
    </row>
    <row r="24">
      <c r="A24" s="11" t="s">
        <v>70</v>
      </c>
      <c r="B24" s="27" t="s">
        <v>71</v>
      </c>
      <c r="C24" s="11" t="s">
        <v>29</v>
      </c>
      <c r="D24" s="13">
        <f t="array" ref="D24">XLOOKUP(B24,'Calculations As per GA Data'!B42:B163,'Calculations As per GA Data'!G42:G163)</f>
        <v>12784.99995</v>
      </c>
      <c r="E24" s="14">
        <v>1897.0</v>
      </c>
      <c r="F24" s="15">
        <f t="shared" si="1"/>
        <v>1607.627119</v>
      </c>
      <c r="G24" s="16">
        <v>4.75</v>
      </c>
      <c r="H24" s="13">
        <f t="array" ref="H24">XLOOKUP(B24,'Discount calculation'!A:A,'Discount calculation'!D:D)</f>
        <v>32.313</v>
      </c>
      <c r="I24" s="13">
        <f t="shared" si="2"/>
        <v>1570.564119</v>
      </c>
      <c r="J24" s="11">
        <v>259.46</v>
      </c>
      <c r="K24" s="18">
        <f t="shared" si="3"/>
        <v>1311.104119</v>
      </c>
      <c r="L24" s="11">
        <v>20.0</v>
      </c>
      <c r="M24" s="20">
        <v>7.52</v>
      </c>
      <c r="N24" s="21">
        <v>162.85142857142858</v>
      </c>
      <c r="O24" s="22">
        <v>4.55</v>
      </c>
      <c r="P24" s="23">
        <f t="shared" si="4"/>
        <v>1116.18269</v>
      </c>
      <c r="Q24" s="24">
        <f t="array" ref="Q24">XLOOKUP(B24,'Calculations As per GA Data'!B42:B163,'Calculations As per GA Data'!J42:J163)</f>
        <v>844.5635199</v>
      </c>
      <c r="R24" s="19">
        <f t="array" ref="R24">XLOOKUP(B24,'Calculations As per GA Data'!B42:B163,'Calculations As per GA Data'!F42:F163)</f>
        <v>7</v>
      </c>
      <c r="S24" s="23">
        <f t="shared" si="5"/>
        <v>271.6191702</v>
      </c>
      <c r="T24" s="25">
        <f t="shared" si="6"/>
        <v>0.1729437003</v>
      </c>
      <c r="U24" s="17">
        <v>229.0</v>
      </c>
      <c r="V24" s="23">
        <f t="shared" si="7"/>
        <v>42.61917021</v>
      </c>
      <c r="W24" s="25">
        <f t="shared" si="8"/>
        <v>0.02713621794</v>
      </c>
      <c r="X24" s="26"/>
    </row>
    <row r="25">
      <c r="A25" s="11" t="s">
        <v>72</v>
      </c>
      <c r="B25" s="27" t="s">
        <v>73</v>
      </c>
      <c r="C25" s="11" t="s">
        <v>72</v>
      </c>
      <c r="D25" s="13">
        <f t="array" ref="D25">XLOOKUP(B25,'Calculations As per GA Data'!B43:B164,'Calculations As per GA Data'!G43:G164)</f>
        <v>35911.00069</v>
      </c>
      <c r="E25" s="14">
        <v>599.0</v>
      </c>
      <c r="F25" s="15">
        <f t="shared" si="1"/>
        <v>507.6271186</v>
      </c>
      <c r="G25" s="16">
        <v>4.75</v>
      </c>
      <c r="H25" s="13">
        <f t="array" ref="H25">XLOOKUP(B25,'Discount calculation'!A:A,'Discount calculation'!D:D)</f>
        <v>10.20781377</v>
      </c>
      <c r="I25" s="13">
        <f t="shared" si="2"/>
        <v>492.6693049</v>
      </c>
      <c r="J25" s="11">
        <v>151.28</v>
      </c>
      <c r="K25" s="18">
        <f t="shared" si="3"/>
        <v>341.3893049</v>
      </c>
      <c r="L25" s="11">
        <v>12.5</v>
      </c>
      <c r="M25" s="20">
        <v>7.52</v>
      </c>
      <c r="N25" s="21">
        <v>121.9460655737705</v>
      </c>
      <c r="O25" s="22">
        <v>4.55</v>
      </c>
      <c r="P25" s="23">
        <f t="shared" si="4"/>
        <v>194.8732393</v>
      </c>
      <c r="Q25" s="24">
        <f t="array" ref="Q25">XLOOKUP(B25,'Calculations As per GA Data'!B43:B164,'Calculations As per GA Data'!J43:J164)</f>
        <v>537.5001485</v>
      </c>
      <c r="R25" s="19">
        <f t="array" ref="R25">XLOOKUP(B25,'Calculations As per GA Data'!B43:B164,'Calculations As per GA Data'!F43:F164)</f>
        <v>61</v>
      </c>
      <c r="S25" s="23">
        <f t="shared" si="5"/>
        <v>-342.6269092</v>
      </c>
      <c r="T25" s="25">
        <f t="shared" si="6"/>
        <v>-0.6954500835</v>
      </c>
      <c r="U25" s="17">
        <v>229.0</v>
      </c>
      <c r="V25" s="23">
        <f t="shared" si="7"/>
        <v>-571.6269092</v>
      </c>
      <c r="W25" s="25">
        <f t="shared" si="8"/>
        <v>-1.160264915</v>
      </c>
      <c r="X25" s="26"/>
    </row>
    <row r="26">
      <c r="A26" s="11" t="s">
        <v>74</v>
      </c>
      <c r="B26" s="27" t="s">
        <v>75</v>
      </c>
      <c r="C26" s="11" t="s">
        <v>29</v>
      </c>
      <c r="D26" s="13">
        <f t="array" ref="D26">XLOOKUP(B26,'Calculations As per GA Data'!B44:B165,'Calculations As per GA Data'!G44:G165)</f>
        <v>31365.99995</v>
      </c>
      <c r="E26" s="30">
        <v>1547.0</v>
      </c>
      <c r="F26" s="15">
        <f t="shared" si="1"/>
        <v>1311.016949</v>
      </c>
      <c r="G26" s="16">
        <v>4.75</v>
      </c>
      <c r="H26" s="13">
        <f t="array" ref="H26">XLOOKUP(B26,'Discount calculation'!A:A,'Discount calculation'!D:D)</f>
        <v>28.96646465</v>
      </c>
      <c r="I26" s="13">
        <f t="shared" si="2"/>
        <v>1277.300485</v>
      </c>
      <c r="J26" s="29">
        <v>210.73</v>
      </c>
      <c r="K26" s="18">
        <f t="shared" si="3"/>
        <v>1066.570485</v>
      </c>
      <c r="L26" s="29">
        <v>20.0</v>
      </c>
      <c r="M26" s="20">
        <v>7.52</v>
      </c>
      <c r="N26" s="21">
        <v>133.7095238095238</v>
      </c>
      <c r="O26" s="22">
        <v>4.55</v>
      </c>
      <c r="P26" s="23">
        <f t="shared" si="4"/>
        <v>900.7909607</v>
      </c>
      <c r="Q26" s="24">
        <f t="array" ref="Q26">XLOOKUP(B26,'Calculations As per GA Data'!B44:B165,'Calculations As per GA Data'!J44:J165)</f>
        <v>677.9159288</v>
      </c>
      <c r="R26" s="19">
        <f t="array" ref="R26">XLOOKUP(B26,'Calculations As per GA Data'!B44:B165,'Calculations As per GA Data'!F44:F165)</f>
        <v>21</v>
      </c>
      <c r="S26" s="23">
        <f t="shared" si="5"/>
        <v>222.8750319</v>
      </c>
      <c r="T26" s="25">
        <f t="shared" si="6"/>
        <v>0.1744891156</v>
      </c>
      <c r="U26" s="17">
        <v>229.0</v>
      </c>
      <c r="V26" s="23">
        <f t="shared" si="7"/>
        <v>-6.124968078</v>
      </c>
      <c r="W26" s="25">
        <f t="shared" si="8"/>
        <v>-0.004795244465</v>
      </c>
      <c r="X26" s="26"/>
    </row>
    <row r="27">
      <c r="A27" s="11" t="s">
        <v>76</v>
      </c>
      <c r="B27" s="27" t="s">
        <v>77</v>
      </c>
      <c r="C27" s="11" t="s">
        <v>76</v>
      </c>
      <c r="D27" s="13">
        <f t="array" ref="D27">XLOOKUP(B27,'Calculations As per GA Data'!B45:B166,'Calculations As per GA Data'!G45:G166)</f>
        <v>23017.99993</v>
      </c>
      <c r="E27" s="14">
        <v>449.0</v>
      </c>
      <c r="F27" s="15">
        <f t="shared" si="1"/>
        <v>380.5084746</v>
      </c>
      <c r="G27" s="16">
        <v>4.75</v>
      </c>
      <c r="H27" s="13">
        <f t="array" ref="H27">XLOOKUP(B27,'Discount calculation'!A:A,'Discount calculation'!D:D)</f>
        <v>4.967751004</v>
      </c>
      <c r="I27" s="13">
        <f t="shared" si="2"/>
        <v>370.7907236</v>
      </c>
      <c r="J27" s="11">
        <v>60.89</v>
      </c>
      <c r="K27" s="18">
        <f t="shared" si="3"/>
        <v>309.9007236</v>
      </c>
      <c r="L27" s="11">
        <v>5.0</v>
      </c>
      <c r="M27" s="20">
        <v>7.52</v>
      </c>
      <c r="N27" s="21">
        <v>101.03519230769231</v>
      </c>
      <c r="O27" s="22">
        <v>4.55</v>
      </c>
      <c r="P27" s="23">
        <f t="shared" si="4"/>
        <v>191.7955313</v>
      </c>
      <c r="Q27" s="24">
        <f t="array" ref="Q27">XLOOKUP(B27,'Calculations As per GA Data'!B45:B166,'Calculations As per GA Data'!J45:J166)</f>
        <v>446.9241968</v>
      </c>
      <c r="R27" s="19">
        <f t="array" ref="R27">XLOOKUP(B27,'Calculations As per GA Data'!B45:B166,'Calculations As per GA Data'!F45:F166)</f>
        <v>52</v>
      </c>
      <c r="S27" s="23">
        <f t="shared" si="5"/>
        <v>-255.1286656</v>
      </c>
      <c r="T27" s="25">
        <f t="shared" si="6"/>
        <v>-0.6880664735</v>
      </c>
      <c r="U27" s="17">
        <v>229.0</v>
      </c>
      <c r="V27" s="23">
        <f t="shared" si="7"/>
        <v>-484.1286656</v>
      </c>
      <c r="W27" s="25">
        <f t="shared" si="8"/>
        <v>-1.305665527</v>
      </c>
      <c r="X27" s="26"/>
    </row>
    <row r="28">
      <c r="A28" s="11" t="s">
        <v>78</v>
      </c>
      <c r="B28" s="27" t="s">
        <v>79</v>
      </c>
      <c r="C28" s="11" t="s">
        <v>78</v>
      </c>
      <c r="D28" s="13">
        <f t="array" ref="D28">XLOOKUP(B28,'Calculations As per GA Data'!B46:B167,'Calculations As per GA Data'!G46:G167)</f>
        <v>19371.99978</v>
      </c>
      <c r="E28" s="14">
        <v>699.0</v>
      </c>
      <c r="F28" s="15">
        <f t="shared" si="1"/>
        <v>592.3728814</v>
      </c>
      <c r="G28" s="16">
        <v>4.75</v>
      </c>
      <c r="H28" s="13">
        <f t="array" ref="H28">XLOOKUP(B28,'Discount calculation'!A:A,'Discount calculation'!D:D)</f>
        <v>8.602013423</v>
      </c>
      <c r="I28" s="13">
        <f t="shared" si="2"/>
        <v>579.0208679</v>
      </c>
      <c r="J28" s="28">
        <v>84.27</v>
      </c>
      <c r="K28" s="18">
        <f t="shared" si="3"/>
        <v>494.7508679</v>
      </c>
      <c r="L28" s="11">
        <v>12.5</v>
      </c>
      <c r="M28" s="20">
        <v>7.52</v>
      </c>
      <c r="N28" s="21">
        <v>122.50535714285715</v>
      </c>
      <c r="O28" s="22">
        <v>4.55</v>
      </c>
      <c r="P28" s="23">
        <f t="shared" si="4"/>
        <v>347.6755108</v>
      </c>
      <c r="Q28" s="24">
        <f t="array" ref="Q28">XLOOKUP(B28,'Calculations As per GA Data'!B46:B167,'Calculations As per GA Data'!J46:J167)</f>
        <v>1292.3278</v>
      </c>
      <c r="R28" s="19">
        <f t="array" ref="R28">XLOOKUP(B28,'Calculations As per GA Data'!B46:B167,'Calculations As per GA Data'!F46:F167)</f>
        <v>28</v>
      </c>
      <c r="S28" s="23">
        <f t="shared" si="5"/>
        <v>-944.652289</v>
      </c>
      <c r="T28" s="25">
        <f t="shared" si="6"/>
        <v>-1.631465015</v>
      </c>
      <c r="U28" s="17">
        <v>229.0</v>
      </c>
      <c r="V28" s="23">
        <f t="shared" si="7"/>
        <v>-1173.652289</v>
      </c>
      <c r="W28" s="25">
        <f t="shared" si="8"/>
        <v>-2.02696026</v>
      </c>
      <c r="X28" s="26"/>
    </row>
    <row r="29">
      <c r="A29" s="11" t="s">
        <v>80</v>
      </c>
      <c r="B29" s="27" t="s">
        <v>81</v>
      </c>
      <c r="C29" s="11" t="s">
        <v>80</v>
      </c>
      <c r="D29" s="13">
        <f t="array" ref="D29">XLOOKUP(B29,'Calculations As per GA Data'!B47:B168,'Calculations As per GA Data'!G47:G168)</f>
        <v>36963.00013</v>
      </c>
      <c r="E29" s="14">
        <v>999.0</v>
      </c>
      <c r="F29" s="15">
        <f t="shared" si="1"/>
        <v>846.6101695</v>
      </c>
      <c r="G29" s="16">
        <v>4.75</v>
      </c>
      <c r="H29" s="13">
        <f t="array" ref="H29">XLOOKUP(B29,'Discount calculation'!A:A,'Discount calculation'!D:D)</f>
        <v>15.10580786</v>
      </c>
      <c r="I29" s="13">
        <f t="shared" si="2"/>
        <v>826.7543616</v>
      </c>
      <c r="J29" s="11">
        <v>276.02</v>
      </c>
      <c r="K29" s="18">
        <f t="shared" si="3"/>
        <v>550.7343616</v>
      </c>
      <c r="L29" s="11">
        <v>12.5</v>
      </c>
      <c r="M29" s="20">
        <v>7.52</v>
      </c>
      <c r="N29" s="21">
        <v>138.26513513513515</v>
      </c>
      <c r="O29" s="22">
        <v>4.55</v>
      </c>
      <c r="P29" s="23">
        <f t="shared" si="4"/>
        <v>387.8992265</v>
      </c>
      <c r="Q29" s="24">
        <f t="array" ref="Q29">XLOOKUP(B29,'Calculations As per GA Data'!B47:B168,'Calculations As per GA Data'!J47:J168)</f>
        <v>366.3973145</v>
      </c>
      <c r="R29" s="19">
        <f t="array" ref="R29">XLOOKUP(B29,'Calculations As per GA Data'!B47:B168,'Calculations As per GA Data'!F47:F168)</f>
        <v>37</v>
      </c>
      <c r="S29" s="23">
        <f t="shared" si="5"/>
        <v>21.50191196</v>
      </c>
      <c r="T29" s="25">
        <f t="shared" si="6"/>
        <v>0.02600761842</v>
      </c>
      <c r="U29" s="17">
        <v>229.0</v>
      </c>
      <c r="V29" s="23">
        <f t="shared" si="7"/>
        <v>-207.498088</v>
      </c>
      <c r="W29" s="25">
        <f t="shared" si="8"/>
        <v>-0.2509791271</v>
      </c>
      <c r="X29" s="26"/>
    </row>
    <row r="30">
      <c r="A30" s="11" t="s">
        <v>82</v>
      </c>
      <c r="B30" s="27" t="s">
        <v>83</v>
      </c>
      <c r="C30" s="11" t="s">
        <v>29</v>
      </c>
      <c r="D30" s="13">
        <f t="array" ref="D30">XLOOKUP(B30,'Calculations As per GA Data'!B48:B169,'Calculations As per GA Data'!G48:G169)</f>
        <v>30792.00011</v>
      </c>
      <c r="E30" s="14">
        <v>1598.0</v>
      </c>
      <c r="F30" s="15">
        <f t="shared" si="1"/>
        <v>1354.237288</v>
      </c>
      <c r="G30" s="16">
        <v>4.75</v>
      </c>
      <c r="H30" s="13">
        <f t="array" ref="H30">XLOOKUP(B30,'Discount calculation'!A:A,'Discount calculation'!D:D)</f>
        <v>25.31909091</v>
      </c>
      <c r="I30" s="13">
        <f t="shared" si="2"/>
        <v>1324.168197</v>
      </c>
      <c r="J30" s="11">
        <v>208.76</v>
      </c>
      <c r="K30" s="18">
        <f t="shared" si="3"/>
        <v>1115.408197</v>
      </c>
      <c r="L30" s="11">
        <v>25.0</v>
      </c>
      <c r="M30" s="20">
        <v>7.52</v>
      </c>
      <c r="N30" s="21">
        <v>157.418</v>
      </c>
      <c r="O30" s="22">
        <v>4.55</v>
      </c>
      <c r="P30" s="23">
        <f t="shared" si="4"/>
        <v>920.9201972</v>
      </c>
      <c r="Q30" s="24">
        <f t="array" ref="Q30">XLOOKUP(B30,'Calculations As per GA Data'!B48:B169,'Calculations As per GA Data'!J48:J169)</f>
        <v>823.9348132</v>
      </c>
      <c r="R30" s="19">
        <f t="array" ref="R30">XLOOKUP(B30,'Calculations As per GA Data'!B48:B169,'Calculations As per GA Data'!F48:F169)</f>
        <v>20</v>
      </c>
      <c r="S30" s="23">
        <f t="shared" si="5"/>
        <v>96.98538403</v>
      </c>
      <c r="T30" s="25">
        <f t="shared" si="6"/>
        <v>0.07324249611</v>
      </c>
      <c r="U30" s="17">
        <v>229.0</v>
      </c>
      <c r="V30" s="23">
        <f t="shared" si="7"/>
        <v>-132.014616</v>
      </c>
      <c r="W30" s="25">
        <f t="shared" si="8"/>
        <v>-0.09969625932</v>
      </c>
      <c r="X30" s="26"/>
    </row>
    <row r="31">
      <c r="A31" s="11" t="s">
        <v>84</v>
      </c>
      <c r="B31" s="27" t="s">
        <v>85</v>
      </c>
      <c r="C31" s="11" t="s">
        <v>29</v>
      </c>
      <c r="D31" s="13">
        <f t="array" ref="D31">XLOOKUP(B31,'Calculations As per GA Data'!B49:B170,'Calculations As per GA Data'!G49:G170)</f>
        <v>13325.00002</v>
      </c>
      <c r="E31" s="14">
        <v>1148.0</v>
      </c>
      <c r="F31" s="15">
        <f t="shared" si="1"/>
        <v>972.8813559</v>
      </c>
      <c r="G31" s="16">
        <v>4.75</v>
      </c>
      <c r="H31" s="13">
        <f t="array" ref="H31">XLOOKUP(B31,'Discount calculation'!A:A,'Discount calculation'!D:D)</f>
        <v>16.0054717</v>
      </c>
      <c r="I31" s="13">
        <f t="shared" si="2"/>
        <v>952.1258842</v>
      </c>
      <c r="J31" s="11">
        <v>137.96</v>
      </c>
      <c r="K31" s="18">
        <f t="shared" si="3"/>
        <v>814.1658842</v>
      </c>
      <c r="L31" s="11">
        <v>11.5</v>
      </c>
      <c r="M31" s="20">
        <v>7.52</v>
      </c>
      <c r="N31" s="21">
        <v>112.79416666666667</v>
      </c>
      <c r="O31" s="22">
        <v>4.55</v>
      </c>
      <c r="P31" s="23">
        <f t="shared" si="4"/>
        <v>677.8017176</v>
      </c>
      <c r="Q31" s="24">
        <f t="array" ref="Q31">XLOOKUP(B31,'Calculations As per GA Data'!B49:B170,'Calculations As per GA Data'!J49:J170)</f>
        <v>863.5742887</v>
      </c>
      <c r="R31" s="19">
        <f t="array" ref="R31">XLOOKUP(B31,'Calculations As per GA Data'!B49:B170,'Calculations As per GA Data'!F49:F170)</f>
        <v>12</v>
      </c>
      <c r="S31" s="23">
        <f t="shared" si="5"/>
        <v>-185.7725712</v>
      </c>
      <c r="T31" s="25">
        <f t="shared" si="6"/>
        <v>-0.1951134553</v>
      </c>
      <c r="U31" s="17">
        <v>229.0</v>
      </c>
      <c r="V31" s="23">
        <f t="shared" si="7"/>
        <v>-414.7725712</v>
      </c>
      <c r="W31" s="25">
        <f t="shared" si="8"/>
        <v>-0.4356278703</v>
      </c>
      <c r="X31" s="26"/>
    </row>
    <row r="32">
      <c r="A32" s="29" t="s">
        <v>86</v>
      </c>
      <c r="B32" s="27" t="s">
        <v>87</v>
      </c>
      <c r="C32" s="29" t="s">
        <v>86</v>
      </c>
      <c r="D32" s="13">
        <f t="array" ref="D32">XLOOKUP(B32,'Calculations As per GA Data'!B50:B171,'Calculations As per GA Data'!G50:G171)</f>
        <v>18643.00007</v>
      </c>
      <c r="E32" s="30">
        <v>599.0</v>
      </c>
      <c r="F32" s="15">
        <f t="shared" si="1"/>
        <v>507.6271186</v>
      </c>
      <c r="G32" s="16">
        <v>4.75</v>
      </c>
      <c r="H32" s="13">
        <f t="array" ref="H32">XLOOKUP(B32,'Discount calculation'!A:A,'Discount calculation'!D:D)</f>
        <v>6.170065789</v>
      </c>
      <c r="I32" s="13">
        <f t="shared" si="2"/>
        <v>496.7070529</v>
      </c>
      <c r="J32" s="29">
        <v>56.8</v>
      </c>
      <c r="K32" s="18">
        <f t="shared" si="3"/>
        <v>439.9070529</v>
      </c>
      <c r="L32" s="29">
        <v>8.5</v>
      </c>
      <c r="M32" s="20">
        <v>7.52</v>
      </c>
      <c r="N32" s="21">
        <v>135.315</v>
      </c>
      <c r="O32" s="22">
        <v>4.55</v>
      </c>
      <c r="P32" s="23">
        <f t="shared" si="4"/>
        <v>284.0220529</v>
      </c>
      <c r="Q32" s="24">
        <f t="array" ref="Q32">XLOOKUP(B32,'Calculations As per GA Data'!B50:B171,'Calculations As per GA Data'!J50:J171)</f>
        <v>1014.304227</v>
      </c>
      <c r="R32" s="19">
        <f t="array" ref="R32">XLOOKUP(B32,'Calculations As per GA Data'!B50:B171,'Calculations As per GA Data'!F50:F171)</f>
        <v>34</v>
      </c>
      <c r="S32" s="23">
        <f t="shared" si="5"/>
        <v>-730.2821744</v>
      </c>
      <c r="T32" s="25">
        <f t="shared" si="6"/>
        <v>-1.470247242</v>
      </c>
      <c r="U32" s="17">
        <v>229.0</v>
      </c>
      <c r="V32" s="23">
        <f t="shared" si="7"/>
        <v>-959.2821744</v>
      </c>
      <c r="W32" s="25">
        <f t="shared" si="8"/>
        <v>-1.931283578</v>
      </c>
      <c r="X32" s="26"/>
    </row>
    <row r="33">
      <c r="A33" s="11" t="s">
        <v>88</v>
      </c>
      <c r="B33" s="27" t="s">
        <v>89</v>
      </c>
      <c r="C33" s="11" t="s">
        <v>29</v>
      </c>
      <c r="D33" s="13">
        <f t="array" ref="D33">XLOOKUP(B33,'Calculations As per GA Data'!B51:B172,'Calculations As per GA Data'!G51:G172)</f>
        <v>7475.999977</v>
      </c>
      <c r="E33" s="14">
        <v>1298.0</v>
      </c>
      <c r="F33" s="15">
        <f t="shared" si="1"/>
        <v>1100</v>
      </c>
      <c r="G33" s="16">
        <v>4.75</v>
      </c>
      <c r="H33" s="13">
        <f t="array" ref="H33">XLOOKUP(B33,'Discount calculation'!A:A,'Discount calculation'!D:D)</f>
        <v>24.27548387</v>
      </c>
      <c r="I33" s="13">
        <f t="shared" si="2"/>
        <v>1070.974516</v>
      </c>
      <c r="J33" s="11">
        <v>178.49</v>
      </c>
      <c r="K33" s="18">
        <f t="shared" si="3"/>
        <v>892.4845161</v>
      </c>
      <c r="L33" s="11">
        <v>21.0</v>
      </c>
      <c r="M33" s="20">
        <v>7.52</v>
      </c>
      <c r="N33" s="21">
        <v>104.645</v>
      </c>
      <c r="O33" s="22">
        <v>4.55</v>
      </c>
      <c r="P33" s="23">
        <f t="shared" si="4"/>
        <v>754.7695161</v>
      </c>
      <c r="Q33" s="24">
        <f t="array" ref="Q33">XLOOKUP(B33,'Calculations As per GA Data'!B51:B172,'Calculations As per GA Data'!J51:J172)</f>
        <v>1319.428258</v>
      </c>
      <c r="R33" s="19">
        <f t="array" ref="R33">XLOOKUP(B33,'Calculations As per GA Data'!B51:B172,'Calculations As per GA Data'!F51:F172)</f>
        <v>6</v>
      </c>
      <c r="S33" s="23">
        <f t="shared" si="5"/>
        <v>-564.6587414</v>
      </c>
      <c r="T33" s="25">
        <f t="shared" si="6"/>
        <v>-0.527238261</v>
      </c>
      <c r="U33" s="17">
        <v>229.0</v>
      </c>
      <c r="V33" s="23">
        <f t="shared" si="7"/>
        <v>-793.6587414</v>
      </c>
      <c r="W33" s="25">
        <f t="shared" si="8"/>
        <v>-0.7410622097</v>
      </c>
      <c r="X33" s="26"/>
    </row>
    <row r="34">
      <c r="A34" s="11" t="s">
        <v>90</v>
      </c>
      <c r="B34" s="27" t="s">
        <v>91</v>
      </c>
      <c r="C34" s="11" t="s">
        <v>29</v>
      </c>
      <c r="D34" s="13">
        <f t="array" ref="D34">XLOOKUP(B34,'Calculations As per GA Data'!B52:B173,'Calculations As per GA Data'!G52:G173)</f>
        <v>17315.0001</v>
      </c>
      <c r="E34" s="30">
        <v>1648.0</v>
      </c>
      <c r="F34" s="15">
        <f t="shared" si="1"/>
        <v>1396.610169</v>
      </c>
      <c r="G34" s="16">
        <v>4.75</v>
      </c>
      <c r="H34" s="13" t="str">
        <f t="array" ref="H34">XLOOKUP(B34,'Discount calculation'!A:A,'Discount calculation'!D:D)</f>
        <v>#N/A</v>
      </c>
      <c r="I34" s="13" t="str">
        <f t="shared" si="2"/>
        <v>#N/A</v>
      </c>
      <c r="J34" s="29">
        <v>255.49</v>
      </c>
      <c r="K34" s="18" t="str">
        <f t="shared" si="3"/>
        <v>#N/A</v>
      </c>
      <c r="L34" s="29">
        <v>17.5</v>
      </c>
      <c r="M34" s="20">
        <v>7.52</v>
      </c>
      <c r="N34" s="21">
        <v>151.7018181818182</v>
      </c>
      <c r="O34" s="22">
        <v>4.55</v>
      </c>
      <c r="P34" s="23" t="str">
        <f t="shared" si="4"/>
        <v>#N/A</v>
      </c>
      <c r="Q34" s="24">
        <f t="array" ref="Q34">XLOOKUP(B34,'Calculations As per GA Data'!B52:B173,'Calculations As per GA Data'!J52:J173)</f>
        <v>1498.063297</v>
      </c>
      <c r="R34" s="19">
        <f t="array" ref="R34">XLOOKUP(B34,'Calculations As per GA Data'!B52:B173,'Calculations As per GA Data'!F52:F173)</f>
        <v>11</v>
      </c>
      <c r="S34" s="23" t="str">
        <f t="shared" si="5"/>
        <v>#N/A</v>
      </c>
      <c r="T34" s="25" t="str">
        <f t="shared" si="6"/>
        <v>#N/A</v>
      </c>
      <c r="U34" s="17">
        <v>229.0</v>
      </c>
      <c r="V34" s="23" t="str">
        <f t="shared" si="7"/>
        <v>#N/A</v>
      </c>
      <c r="W34" s="25" t="str">
        <f t="shared" si="8"/>
        <v>#N/A</v>
      </c>
      <c r="X34" s="26"/>
    </row>
    <row r="35">
      <c r="A35" s="11" t="s">
        <v>92</v>
      </c>
      <c r="B35" s="27" t="s">
        <v>93</v>
      </c>
      <c r="C35" s="11" t="s">
        <v>29</v>
      </c>
      <c r="D35" s="13">
        <f t="array" ref="D35">XLOOKUP(B35,'Calculations As per GA Data'!B53:B174,'Calculations As per GA Data'!G53:G174)</f>
        <v>7279.000097</v>
      </c>
      <c r="E35" s="14">
        <v>1148.0</v>
      </c>
      <c r="F35" s="15">
        <f t="shared" si="1"/>
        <v>972.8813559</v>
      </c>
      <c r="G35" s="16">
        <v>4.75</v>
      </c>
      <c r="H35" s="13">
        <f t="array" ref="H35">XLOOKUP(B35,'Discount calculation'!A:A,'Discount calculation'!D:D)</f>
        <v>17.1175</v>
      </c>
      <c r="I35" s="13">
        <f t="shared" si="2"/>
        <v>951.0138559</v>
      </c>
      <c r="J35" s="11">
        <v>191.89</v>
      </c>
      <c r="K35" s="18">
        <f t="shared" si="3"/>
        <v>759.1238559</v>
      </c>
      <c r="L35" s="11">
        <v>10.0</v>
      </c>
      <c r="M35" s="20">
        <v>7.52</v>
      </c>
      <c r="N35" s="21">
        <v>193.20428571428573</v>
      </c>
      <c r="O35" s="22">
        <v>4.55</v>
      </c>
      <c r="P35" s="23">
        <f t="shared" si="4"/>
        <v>543.8495702</v>
      </c>
      <c r="Q35" s="24">
        <f t="array" ref="Q35">XLOOKUP(B35,'Calculations As per GA Data'!B53:B174,'Calculations As per GA Data'!J53:J174)</f>
        <v>732.9258132</v>
      </c>
      <c r="R35" s="19">
        <f t="array" ref="R35">XLOOKUP(B35,'Calculations As per GA Data'!B53:B174,'Calculations As per GA Data'!F53:F174)</f>
        <v>7</v>
      </c>
      <c r="S35" s="23">
        <f t="shared" si="5"/>
        <v>-189.076243</v>
      </c>
      <c r="T35" s="25">
        <f t="shared" si="6"/>
        <v>-0.198815445</v>
      </c>
      <c r="U35" s="17">
        <v>229.0</v>
      </c>
      <c r="V35" s="23">
        <f t="shared" si="7"/>
        <v>-418.076243</v>
      </c>
      <c r="W35" s="25">
        <f t="shared" si="8"/>
        <v>-0.4396110954</v>
      </c>
      <c r="X35" s="26"/>
    </row>
    <row r="36">
      <c r="A36" s="11" t="s">
        <v>94</v>
      </c>
      <c r="B36" s="27" t="s">
        <v>95</v>
      </c>
      <c r="C36" s="11" t="s">
        <v>94</v>
      </c>
      <c r="D36" s="13">
        <f t="array" ref="D36">XLOOKUP(B36,'Calculations As per GA Data'!B54:B175,'Calculations As per GA Data'!G54:G175)</f>
        <v>14469.00011</v>
      </c>
      <c r="E36" s="14">
        <v>499.0</v>
      </c>
      <c r="F36" s="15">
        <f t="shared" si="1"/>
        <v>422.8813559</v>
      </c>
      <c r="G36" s="16">
        <v>4.75</v>
      </c>
      <c r="H36" s="13">
        <f t="array" ref="H36">XLOOKUP(B36,'Discount calculation'!A:A,'Discount calculation'!D:D)</f>
        <v>5.739536082</v>
      </c>
      <c r="I36" s="13">
        <f t="shared" si="2"/>
        <v>412.3918198</v>
      </c>
      <c r="J36" s="11">
        <v>75.0</v>
      </c>
      <c r="K36" s="18">
        <f t="shared" si="3"/>
        <v>337.3918198</v>
      </c>
      <c r="L36" s="11">
        <v>5.0</v>
      </c>
      <c r="M36" s="20">
        <v>7.52</v>
      </c>
      <c r="N36" s="21">
        <v>102.55935483870968</v>
      </c>
      <c r="O36" s="22">
        <v>4.55</v>
      </c>
      <c r="P36" s="23">
        <f t="shared" si="4"/>
        <v>217.762465</v>
      </c>
      <c r="Q36" s="24">
        <f t="array" ref="Q36">XLOOKUP(B36,'Calculations As per GA Data'!B54:B175,'Calculations As per GA Data'!J54:J175)</f>
        <v>714.6065822</v>
      </c>
      <c r="R36" s="19">
        <f t="array" ref="R36">XLOOKUP(B36,'Calculations As per GA Data'!B54:B175,'Calculations As per GA Data'!F54:F175)</f>
        <v>31</v>
      </c>
      <c r="S36" s="23">
        <f t="shared" si="5"/>
        <v>-496.8441172</v>
      </c>
      <c r="T36" s="25">
        <f t="shared" si="6"/>
        <v>-1.204786548</v>
      </c>
      <c r="U36" s="17">
        <v>229.0</v>
      </c>
      <c r="V36" s="23">
        <f t="shared" si="7"/>
        <v>-725.8441172</v>
      </c>
      <c r="W36" s="25">
        <f t="shared" si="8"/>
        <v>-1.760083693</v>
      </c>
      <c r="X36" s="26"/>
    </row>
    <row r="37">
      <c r="A37" s="29" t="s">
        <v>96</v>
      </c>
      <c r="B37" s="27" t="s">
        <v>97</v>
      </c>
      <c r="C37" s="29" t="s">
        <v>96</v>
      </c>
      <c r="D37" s="13">
        <f t="array" ref="D37">XLOOKUP(B37,'Calculations As per GA Data'!B55:B176,'Calculations As per GA Data'!G55:G176)</f>
        <v>12171.99976</v>
      </c>
      <c r="E37" s="30">
        <v>599.0</v>
      </c>
      <c r="F37" s="15">
        <f t="shared" si="1"/>
        <v>507.6271186</v>
      </c>
      <c r="G37" s="16">
        <v>4.75</v>
      </c>
      <c r="H37" s="13">
        <f t="array" ref="H37">XLOOKUP(B37,'Discount calculation'!A:A,'Discount calculation'!D:D)</f>
        <v>11.18566667</v>
      </c>
      <c r="I37" s="13">
        <f t="shared" si="2"/>
        <v>491.691452</v>
      </c>
      <c r="J37" s="29">
        <v>76.7</v>
      </c>
      <c r="K37" s="18">
        <f t="shared" si="3"/>
        <v>414.991452</v>
      </c>
      <c r="L37" s="29">
        <v>8.5</v>
      </c>
      <c r="M37" s="20">
        <v>7.52</v>
      </c>
      <c r="N37" s="21">
        <v>84.42909090909092</v>
      </c>
      <c r="O37" s="22">
        <v>4.55</v>
      </c>
      <c r="P37" s="23">
        <f t="shared" si="4"/>
        <v>309.9923611</v>
      </c>
      <c r="Q37" s="24">
        <f t="array" ref="Q37">XLOOKUP(B37,'Calculations As per GA Data'!B55:B176,'Calculations As per GA Data'!J55:J176)</f>
        <v>1718.911803</v>
      </c>
      <c r="R37" s="19">
        <f t="array" ref="R37">XLOOKUP(B37,'Calculations As per GA Data'!B55:B176,'Calculations As per GA Data'!F55:F176)</f>
        <v>22</v>
      </c>
      <c r="S37" s="23">
        <f t="shared" si="5"/>
        <v>-1408.919442</v>
      </c>
      <c r="T37" s="25">
        <f t="shared" si="6"/>
        <v>-2.865454416</v>
      </c>
      <c r="U37" s="17">
        <v>229.0</v>
      </c>
      <c r="V37" s="23">
        <f t="shared" si="7"/>
        <v>-1637.919442</v>
      </c>
      <c r="W37" s="25">
        <f t="shared" si="8"/>
        <v>-3.331193649</v>
      </c>
      <c r="X37" s="26"/>
    </row>
    <row r="38">
      <c r="A38" s="11" t="s">
        <v>98</v>
      </c>
      <c r="B38" s="27" t="s">
        <v>99</v>
      </c>
      <c r="C38" s="11" t="s">
        <v>29</v>
      </c>
      <c r="D38" s="13">
        <f t="array" ref="D38">XLOOKUP(B38,'Calculations As per GA Data'!B56:B177,'Calculations As per GA Data'!G56:G177)</f>
        <v>8038.00003</v>
      </c>
      <c r="E38" s="14">
        <v>1198.0</v>
      </c>
      <c r="F38" s="15">
        <f t="shared" si="1"/>
        <v>1015.254237</v>
      </c>
      <c r="G38" s="16">
        <v>4.75</v>
      </c>
      <c r="H38" s="13">
        <f t="array" ref="H38">XLOOKUP(B38,'Discount calculation'!A:A,'Discount calculation'!D:D)</f>
        <v>15.51170732</v>
      </c>
      <c r="I38" s="13">
        <f t="shared" si="2"/>
        <v>994.99253</v>
      </c>
      <c r="J38" s="11">
        <v>128.46</v>
      </c>
      <c r="K38" s="18">
        <f t="shared" si="3"/>
        <v>866.53253</v>
      </c>
      <c r="L38" s="11">
        <v>11.5</v>
      </c>
      <c r="M38" s="20">
        <v>7.52</v>
      </c>
      <c r="N38" s="21">
        <v>89.09857142857143</v>
      </c>
      <c r="O38" s="22">
        <v>4.55</v>
      </c>
      <c r="P38" s="23">
        <f t="shared" si="4"/>
        <v>753.8639585</v>
      </c>
      <c r="Q38" s="24">
        <f t="array" ref="Q38">XLOOKUP(B38,'Calculations As per GA Data'!B56:B177,'Calculations As per GA Data'!J56:J177)</f>
        <v>825.1482665</v>
      </c>
      <c r="R38" s="19">
        <f t="array" ref="R38">XLOOKUP(B38,'Calculations As per GA Data'!B56:B177,'Calculations As per GA Data'!F56:F177)</f>
        <v>7</v>
      </c>
      <c r="S38" s="23">
        <f t="shared" si="5"/>
        <v>-71.28430799</v>
      </c>
      <c r="T38" s="25">
        <f t="shared" si="6"/>
        <v>-0.07164305845</v>
      </c>
      <c r="U38" s="17">
        <v>229.0</v>
      </c>
      <c r="V38" s="23">
        <f t="shared" si="7"/>
        <v>-300.284308</v>
      </c>
      <c r="W38" s="25">
        <f t="shared" si="8"/>
        <v>-0.3017955401</v>
      </c>
      <c r="X38" s="26"/>
    </row>
    <row r="39">
      <c r="A39" s="11" t="s">
        <v>100</v>
      </c>
      <c r="B39" s="27" t="s">
        <v>101</v>
      </c>
      <c r="C39" s="11" t="s">
        <v>29</v>
      </c>
      <c r="D39" s="13">
        <f t="array" ref="D39">XLOOKUP(B39,'Calculations As per GA Data'!B57:B178,'Calculations As per GA Data'!G57:G178)</f>
        <v>13926.0001</v>
      </c>
      <c r="E39" s="14">
        <v>1448.0</v>
      </c>
      <c r="F39" s="15">
        <f t="shared" si="1"/>
        <v>1227.118644</v>
      </c>
      <c r="G39" s="16">
        <v>4.75</v>
      </c>
      <c r="H39" s="13">
        <f t="array" ref="H39">XLOOKUP(B39,'Discount calculation'!A:A,'Discount calculation'!D:D)</f>
        <v>25.90212766</v>
      </c>
      <c r="I39" s="13">
        <f t="shared" si="2"/>
        <v>1196.466516</v>
      </c>
      <c r="J39" s="11">
        <v>189.99</v>
      </c>
      <c r="K39" s="18">
        <f t="shared" si="3"/>
        <v>1006.476516</v>
      </c>
      <c r="L39" s="11">
        <v>17.5</v>
      </c>
      <c r="M39" s="20">
        <v>7.52</v>
      </c>
      <c r="N39" s="21">
        <v>151.047</v>
      </c>
      <c r="O39" s="22">
        <v>4.55</v>
      </c>
      <c r="P39" s="23">
        <f t="shared" si="4"/>
        <v>825.8595164</v>
      </c>
      <c r="Q39" s="24">
        <f t="array" ref="Q39">XLOOKUP(B39,'Calculations As per GA Data'!B57:B178,'Calculations As per GA Data'!J57:J178)</f>
        <v>1002.312453</v>
      </c>
      <c r="R39" s="19">
        <f t="array" ref="R39">XLOOKUP(B39,'Calculations As per GA Data'!B57:B178,'Calculations As per GA Data'!F57:F178)</f>
        <v>10</v>
      </c>
      <c r="S39" s="23">
        <f t="shared" si="5"/>
        <v>-176.4529368</v>
      </c>
      <c r="T39" s="25">
        <f t="shared" si="6"/>
        <v>-0.1474783743</v>
      </c>
      <c r="U39" s="17">
        <v>229.0</v>
      </c>
      <c r="V39" s="23">
        <f t="shared" si="7"/>
        <v>-405.4529368</v>
      </c>
      <c r="W39" s="25">
        <f t="shared" si="8"/>
        <v>-0.3388752892</v>
      </c>
      <c r="X39" s="26"/>
    </row>
    <row r="40">
      <c r="A40" s="11" t="s">
        <v>102</v>
      </c>
      <c r="B40" s="27" t="s">
        <v>103</v>
      </c>
      <c r="C40" s="11" t="s">
        <v>102</v>
      </c>
      <c r="D40" s="13">
        <f t="array" ref="D40">XLOOKUP(B40,'Calculations As per GA Data'!B58:B179,'Calculations As per GA Data'!G58:G179)</f>
        <v>6080.000241</v>
      </c>
      <c r="E40" s="14">
        <v>190.0</v>
      </c>
      <c r="F40" s="15">
        <f t="shared" si="1"/>
        <v>161.0169492</v>
      </c>
      <c r="G40" s="16">
        <v>4.75</v>
      </c>
      <c r="H40" s="13">
        <f t="array" ref="H40">XLOOKUP(B40,'Discount calculation'!A:A,'Discount calculation'!D:D)</f>
        <v>2.113055556</v>
      </c>
      <c r="I40" s="13">
        <f t="shared" si="2"/>
        <v>154.1538936</v>
      </c>
      <c r="J40" s="11">
        <v>38.6</v>
      </c>
      <c r="K40" s="18">
        <f t="shared" si="3"/>
        <v>115.5538936</v>
      </c>
      <c r="L40" s="11">
        <v>8.5</v>
      </c>
      <c r="M40" s="20">
        <v>7.52</v>
      </c>
      <c r="N40" s="21">
        <v>109.51285714285714</v>
      </c>
      <c r="O40" s="22">
        <v>4.55</v>
      </c>
      <c r="P40" s="23">
        <f t="shared" si="4"/>
        <v>-14.52896355</v>
      </c>
      <c r="Q40" s="24">
        <f t="array" ref="Q40">XLOOKUP(B40,'Calculations As per GA Data'!B58:B179,'Calculations As per GA Data'!J58:J179)</f>
        <v>193.1817706</v>
      </c>
      <c r="R40" s="19">
        <f t="array" ref="R40">XLOOKUP(B40,'Calculations As per GA Data'!B58:B179,'Calculations As per GA Data'!F58:F179)</f>
        <v>35</v>
      </c>
      <c r="S40" s="23">
        <f t="shared" si="5"/>
        <v>-207.7107342</v>
      </c>
      <c r="T40" s="25">
        <f t="shared" si="6"/>
        <v>-1.347424508</v>
      </c>
      <c r="U40" s="17">
        <v>229.0</v>
      </c>
      <c r="V40" s="23">
        <f t="shared" si="7"/>
        <v>-436.7107342</v>
      </c>
      <c r="W40" s="25">
        <f t="shared" si="8"/>
        <v>-2.832952993</v>
      </c>
      <c r="X40" s="26"/>
    </row>
    <row r="41">
      <c r="A41" s="11" t="s">
        <v>104</v>
      </c>
      <c r="B41" s="27" t="s">
        <v>105</v>
      </c>
      <c r="C41" s="11" t="s">
        <v>29</v>
      </c>
      <c r="D41" s="13">
        <f t="array" ref="D41">XLOOKUP(B41,'Calculations As per GA Data'!B59:B180,'Calculations As per GA Data'!G59:G180)</f>
        <v>1992.000047</v>
      </c>
      <c r="E41" s="30">
        <v>2097.0</v>
      </c>
      <c r="F41" s="15">
        <f t="shared" si="1"/>
        <v>1777.118644</v>
      </c>
      <c r="G41" s="16">
        <v>4.75</v>
      </c>
      <c r="H41" s="13">
        <f t="array" ref="H41">XLOOKUP(B41,'Discount calculation'!A:A,'Discount calculation'!D:D)</f>
        <v>40.518</v>
      </c>
      <c r="I41" s="13">
        <f t="shared" si="2"/>
        <v>1731.850644</v>
      </c>
      <c r="J41" s="29">
        <v>338.44</v>
      </c>
      <c r="K41" s="18">
        <f t="shared" si="3"/>
        <v>1393.410644</v>
      </c>
      <c r="L41" s="29">
        <v>26.0</v>
      </c>
      <c r="M41" s="20">
        <v>7.52</v>
      </c>
      <c r="N41" s="22" t="s">
        <v>63</v>
      </c>
      <c r="O41" s="22">
        <v>4.55</v>
      </c>
      <c r="P41" s="23">
        <f t="shared" si="4"/>
        <v>1355.340644</v>
      </c>
      <c r="Q41" s="24">
        <f t="array" ref="Q41">XLOOKUP(B41,'Calculations As per GA Data'!B59:B180,'Calculations As per GA Data'!J59:J180)</f>
        <v>10838.56517</v>
      </c>
      <c r="R41" s="19">
        <f t="array" ref="R41">XLOOKUP(B41,'Calculations As per GA Data'!B59:B180,'Calculations As per GA Data'!F59:F180)</f>
        <v>1</v>
      </c>
      <c r="S41" s="23">
        <f t="shared" si="5"/>
        <v>-9483.224527</v>
      </c>
      <c r="T41" s="25">
        <f t="shared" si="6"/>
        <v>-5.475775039</v>
      </c>
      <c r="U41" s="17">
        <v>229.0</v>
      </c>
      <c r="V41" s="23">
        <f t="shared" si="7"/>
        <v>-9712.224527</v>
      </c>
      <c r="W41" s="25">
        <f t="shared" si="8"/>
        <v>-5.608003531</v>
      </c>
      <c r="X41" s="26"/>
    </row>
    <row r="42">
      <c r="A42" s="11" t="s">
        <v>57</v>
      </c>
      <c r="B42" s="27" t="s">
        <v>106</v>
      </c>
      <c r="C42" s="11" t="s">
        <v>57</v>
      </c>
      <c r="D42" s="13">
        <f t="array" ref="D42">XLOOKUP(B42,'Calculations As per GA Data'!B60:B181,'Calculations As per GA Data'!G60:G181)</f>
        <v>32903.00009</v>
      </c>
      <c r="E42" s="14">
        <v>399.0</v>
      </c>
      <c r="F42" s="15">
        <f t="shared" si="1"/>
        <v>338.1355932</v>
      </c>
      <c r="G42" s="16">
        <v>4.75</v>
      </c>
      <c r="H42" s="13">
        <f t="array" ref="H42">XLOOKUP(B42,'Discount calculation'!A:A,'Discount calculation'!D:D)</f>
        <v>13.49692308</v>
      </c>
      <c r="I42" s="13">
        <f t="shared" si="2"/>
        <v>319.8886701</v>
      </c>
      <c r="J42" s="11">
        <v>54.0</v>
      </c>
      <c r="K42" s="18">
        <f t="shared" si="3"/>
        <v>265.8886701</v>
      </c>
      <c r="L42" s="11">
        <v>8.5</v>
      </c>
      <c r="M42" s="20">
        <v>7.52</v>
      </c>
      <c r="N42" s="21">
        <v>145.63594594594593</v>
      </c>
      <c r="O42" s="22">
        <v>4.55</v>
      </c>
      <c r="P42" s="23">
        <f t="shared" si="4"/>
        <v>99.6827242</v>
      </c>
      <c r="Q42" s="24">
        <f t="array" ref="Q42">XLOOKUP(B42,'Calculations As per GA Data'!B60:B181,'Calculations As per GA Data'!J60:J181)</f>
        <v>543.6270932</v>
      </c>
      <c r="R42" s="19">
        <f t="array" ref="R42">XLOOKUP(B42,'Calculations As per GA Data'!B60:B181,'Calculations As per GA Data'!F60:F181)</f>
        <v>37</v>
      </c>
      <c r="S42" s="23">
        <f t="shared" si="5"/>
        <v>-443.944369</v>
      </c>
      <c r="T42" s="25">
        <f t="shared" si="6"/>
        <v>-1.38780898</v>
      </c>
      <c r="U42" s="17">
        <v>229.0</v>
      </c>
      <c r="V42" s="23">
        <f t="shared" si="7"/>
        <v>-672.944369</v>
      </c>
      <c r="W42" s="25">
        <f t="shared" si="8"/>
        <v>-2.103683037</v>
      </c>
      <c r="X42" s="26"/>
    </row>
    <row r="43">
      <c r="A43" s="29" t="s">
        <v>107</v>
      </c>
      <c r="B43" s="27" t="s">
        <v>108</v>
      </c>
      <c r="C43" s="29" t="s">
        <v>107</v>
      </c>
      <c r="D43" s="13">
        <f t="array" ref="D43">XLOOKUP(B43,'Calculations As per GA Data'!B61:B182,'Calculations As per GA Data'!G61:G182)</f>
        <v>10479.00012</v>
      </c>
      <c r="E43" s="30">
        <v>499.0</v>
      </c>
      <c r="F43" s="15">
        <f t="shared" si="1"/>
        <v>422.8813559</v>
      </c>
      <c r="G43" s="16">
        <v>4.75</v>
      </c>
      <c r="H43" s="13">
        <f t="array" ref="H43">XLOOKUP(B43,'Discount calculation'!A:A,'Discount calculation'!D:D)</f>
        <v>8.102727273</v>
      </c>
      <c r="I43" s="13">
        <f t="shared" si="2"/>
        <v>410.0286287</v>
      </c>
      <c r="J43" s="29">
        <v>45.0</v>
      </c>
      <c r="K43" s="18">
        <f t="shared" si="3"/>
        <v>365.0286287</v>
      </c>
      <c r="L43" s="29">
        <v>8.5</v>
      </c>
      <c r="M43" s="20">
        <v>7.52</v>
      </c>
      <c r="N43" s="21">
        <v>104.0757142857143</v>
      </c>
      <c r="O43" s="22">
        <v>4.55</v>
      </c>
      <c r="P43" s="23">
        <f t="shared" si="4"/>
        <v>240.3829144</v>
      </c>
      <c r="Q43" s="24">
        <f t="array" ref="Q43">XLOOKUP(B43,'Calculations As per GA Data'!B61:B182,'Calculations As per GA Data'!J61:J182)</f>
        <v>959.4371021</v>
      </c>
      <c r="R43" s="19">
        <f t="array" ref="R43">XLOOKUP(B43,'Calculations As per GA Data'!B61:B182,'Calculations As per GA Data'!F61:F182)</f>
        <v>21</v>
      </c>
      <c r="S43" s="23">
        <f t="shared" si="5"/>
        <v>-719.0541877</v>
      </c>
      <c r="T43" s="25">
        <f t="shared" si="6"/>
        <v>-1.75366825</v>
      </c>
      <c r="U43" s="17">
        <v>229.0</v>
      </c>
      <c r="V43" s="23">
        <f t="shared" si="7"/>
        <v>-948.0541877</v>
      </c>
      <c r="W43" s="25">
        <f t="shared" si="8"/>
        <v>-2.312165838</v>
      </c>
      <c r="X43" s="26"/>
    </row>
    <row r="44">
      <c r="A44" s="11" t="s">
        <v>109</v>
      </c>
      <c r="B44" s="27" t="s">
        <v>110</v>
      </c>
      <c r="C44" s="11" t="s">
        <v>29</v>
      </c>
      <c r="D44" s="13">
        <f t="array" ref="D44">XLOOKUP(B44,'Calculations As per GA Data'!B62:B183,'Calculations As per GA Data'!G62:G183)</f>
        <v>7340.999982</v>
      </c>
      <c r="E44" s="14">
        <v>848.0</v>
      </c>
      <c r="F44" s="15">
        <f t="shared" si="1"/>
        <v>718.6440678</v>
      </c>
      <c r="G44" s="16">
        <v>4.75</v>
      </c>
      <c r="H44" s="13">
        <f t="array" ref="H44">XLOOKUP(B44,'Discount calculation'!A:A,'Discount calculation'!D:D)</f>
        <v>11.2465</v>
      </c>
      <c r="I44" s="13">
        <f t="shared" si="2"/>
        <v>702.6475678</v>
      </c>
      <c r="J44" s="11">
        <v>114.89</v>
      </c>
      <c r="K44" s="18">
        <f t="shared" si="3"/>
        <v>587.7575678</v>
      </c>
      <c r="L44" s="11">
        <v>13.5</v>
      </c>
      <c r="M44" s="20">
        <v>7.52</v>
      </c>
      <c r="N44" s="21">
        <v>157.08888888888887</v>
      </c>
      <c r="O44" s="22">
        <v>4.55</v>
      </c>
      <c r="P44" s="23">
        <f t="shared" si="4"/>
        <v>405.0986789</v>
      </c>
      <c r="Q44" s="24">
        <f t="array" ref="Q44">XLOOKUP(B44,'Calculations As per GA Data'!B62:B183,'Calculations As per GA Data'!J62:J183)</f>
        <v>755.0376295</v>
      </c>
      <c r="R44" s="19">
        <f t="array" ref="R44">XLOOKUP(B44,'Calculations As per GA Data'!B62:B183,'Calculations As per GA Data'!F62:F183)</f>
        <v>9</v>
      </c>
      <c r="S44" s="23">
        <f t="shared" si="5"/>
        <v>-349.9389506</v>
      </c>
      <c r="T44" s="25">
        <f t="shared" si="6"/>
        <v>-0.498029121</v>
      </c>
      <c r="U44" s="17">
        <v>229.0</v>
      </c>
      <c r="V44" s="23">
        <f t="shared" si="7"/>
        <v>-578.9389506</v>
      </c>
      <c r="W44" s="25">
        <f t="shared" si="8"/>
        <v>-0.8239393077</v>
      </c>
      <c r="X44" s="26"/>
    </row>
    <row r="45">
      <c r="A45" s="11" t="s">
        <v>111</v>
      </c>
      <c r="B45" s="27" t="s">
        <v>112</v>
      </c>
      <c r="C45" s="11" t="s">
        <v>29</v>
      </c>
      <c r="D45" s="13">
        <f t="array" ref="D45">XLOOKUP(B45,'Calculations As per GA Data'!B63:B184,'Calculations As per GA Data'!G63:G184)</f>
        <v>2604.999988</v>
      </c>
      <c r="E45" s="14">
        <v>1348.0</v>
      </c>
      <c r="F45" s="15">
        <f t="shared" si="1"/>
        <v>1142.372881</v>
      </c>
      <c r="G45" s="16">
        <v>4.75</v>
      </c>
      <c r="H45" s="13">
        <f t="array" ref="H45">XLOOKUP(B45,'Discount calculation'!A:A,'Discount calculation'!D:D)</f>
        <v>9.048181818</v>
      </c>
      <c r="I45" s="13">
        <f t="shared" si="2"/>
        <v>1128.5747</v>
      </c>
      <c r="J45" s="11">
        <v>193.96</v>
      </c>
      <c r="K45" s="18">
        <f t="shared" si="3"/>
        <v>934.6146995</v>
      </c>
      <c r="L45" s="11">
        <v>15.0</v>
      </c>
      <c r="M45" s="20">
        <v>7.52</v>
      </c>
      <c r="N45" s="21">
        <v>433.3</v>
      </c>
      <c r="O45" s="22">
        <v>4.55</v>
      </c>
      <c r="P45" s="23">
        <f t="shared" si="4"/>
        <v>474.2446995</v>
      </c>
      <c r="Q45" s="24">
        <f t="array" ref="Q45">XLOOKUP(B45,'Calculations As per GA Data'!B63:B184,'Calculations As per GA Data'!J63:J184)</f>
        <v>1494.974506</v>
      </c>
      <c r="R45" s="19">
        <f t="array" ref="R45">XLOOKUP(B45,'Calculations As per GA Data'!B63:B184,'Calculations As per GA Data'!F63:F184)</f>
        <v>2</v>
      </c>
      <c r="S45" s="23">
        <f t="shared" si="5"/>
        <v>-1020.729807</v>
      </c>
      <c r="T45" s="25">
        <f t="shared" si="6"/>
        <v>-0.9044415113</v>
      </c>
      <c r="U45" s="17">
        <v>229.0</v>
      </c>
      <c r="V45" s="23">
        <f t="shared" si="7"/>
        <v>-1249.729807</v>
      </c>
      <c r="W45" s="25">
        <f t="shared" si="8"/>
        <v>-1.107352316</v>
      </c>
      <c r="X45" s="26"/>
    </row>
    <row r="46">
      <c r="A46" s="11" t="s">
        <v>113</v>
      </c>
      <c r="B46" s="27" t="s">
        <v>114</v>
      </c>
      <c r="C46" s="11" t="s">
        <v>113</v>
      </c>
      <c r="D46" s="13">
        <f t="array" ref="D46">XLOOKUP(B46,'Calculations As per GA Data'!B64:B185,'Calculations As per GA Data'!G64:G185)</f>
        <v>7984.000021</v>
      </c>
      <c r="E46" s="14">
        <v>449.0</v>
      </c>
      <c r="F46" s="15">
        <f t="shared" si="1"/>
        <v>380.5084746</v>
      </c>
      <c r="G46" s="16">
        <v>4.75</v>
      </c>
      <c r="H46" s="13">
        <f t="array" ref="H46">XLOOKUP(B46,'Discount calculation'!A:A,'Discount calculation'!D:D)</f>
        <v>7.528469388</v>
      </c>
      <c r="I46" s="13">
        <f t="shared" si="2"/>
        <v>368.2300052</v>
      </c>
      <c r="J46" s="11">
        <v>76.4</v>
      </c>
      <c r="K46" s="18">
        <f t="shared" si="3"/>
        <v>291.8300052</v>
      </c>
      <c r="L46" s="11">
        <v>5.0</v>
      </c>
      <c r="M46" s="20">
        <v>7.52</v>
      </c>
      <c r="N46" s="21">
        <v>96.685</v>
      </c>
      <c r="O46" s="22">
        <v>4.55</v>
      </c>
      <c r="P46" s="23">
        <f t="shared" si="4"/>
        <v>178.0750052</v>
      </c>
      <c r="Q46" s="24">
        <f t="array" ref="Q46">XLOOKUP(B46,'Calculations As per GA Data'!B64:B185,'Calculations As per GA Data'!J64:J185)</f>
        <v>641.3100866</v>
      </c>
      <c r="R46" s="19">
        <f t="array" ref="R46">XLOOKUP(B46,'Calculations As per GA Data'!B64:B185,'Calculations As per GA Data'!F64:F185)</f>
        <v>16</v>
      </c>
      <c r="S46" s="23">
        <f t="shared" si="5"/>
        <v>-463.2350814</v>
      </c>
      <c r="T46" s="25">
        <f t="shared" si="6"/>
        <v>-1.258004711</v>
      </c>
      <c r="U46" s="17">
        <v>229.0</v>
      </c>
      <c r="V46" s="23">
        <f t="shared" si="7"/>
        <v>-692.2350814</v>
      </c>
      <c r="W46" s="25">
        <f t="shared" si="8"/>
        <v>-1.879898628</v>
      </c>
      <c r="X46" s="26"/>
    </row>
    <row r="47">
      <c r="A47" s="11" t="s">
        <v>115</v>
      </c>
      <c r="B47" s="27" t="s">
        <v>116</v>
      </c>
      <c r="C47" s="11" t="s">
        <v>29</v>
      </c>
      <c r="D47" s="13">
        <f t="array" ref="D47">XLOOKUP(B47,'Calculations As per GA Data'!B65:B186,'Calculations As per GA Data'!G65:G186)</f>
        <v>3823.000048</v>
      </c>
      <c r="E47" s="14">
        <v>998.0</v>
      </c>
      <c r="F47" s="15">
        <f t="shared" si="1"/>
        <v>845.7627119</v>
      </c>
      <c r="G47" s="16">
        <v>4.75</v>
      </c>
      <c r="H47" s="13">
        <f t="array" ref="H47">XLOOKUP(B47,'Discount calculation'!A:A,'Discount calculation'!D:D)</f>
        <v>12.62777778</v>
      </c>
      <c r="I47" s="13">
        <f t="shared" si="2"/>
        <v>828.3849341</v>
      </c>
      <c r="J47" s="11">
        <v>143.33</v>
      </c>
      <c r="K47" s="18">
        <f t="shared" si="3"/>
        <v>685.0549341</v>
      </c>
      <c r="L47" s="11">
        <v>15.0</v>
      </c>
      <c r="M47" s="20">
        <v>7.52</v>
      </c>
      <c r="N47" s="21">
        <v>210.6925</v>
      </c>
      <c r="O47" s="22">
        <v>4.55</v>
      </c>
      <c r="P47" s="23">
        <f t="shared" si="4"/>
        <v>447.2924341</v>
      </c>
      <c r="Q47" s="24">
        <f t="array" ref="Q47">XLOOKUP(B47,'Calculations As per GA Data'!B65:B186,'Calculations As per GA Data'!J65:J186)</f>
        <v>934.3590665</v>
      </c>
      <c r="R47" s="19">
        <f t="array" ref="R47">XLOOKUP(B47,'Calculations As per GA Data'!B65:B186,'Calculations As per GA Data'!F65:F186)</f>
        <v>4</v>
      </c>
      <c r="S47" s="23">
        <f t="shared" si="5"/>
        <v>-487.0666324</v>
      </c>
      <c r="T47" s="25">
        <f t="shared" si="6"/>
        <v>-0.5879713795</v>
      </c>
      <c r="U47" s="17">
        <v>229.0</v>
      </c>
      <c r="V47" s="23">
        <f t="shared" si="7"/>
        <v>-716.0666324</v>
      </c>
      <c r="W47" s="25">
        <f t="shared" si="8"/>
        <v>-0.8644129111</v>
      </c>
      <c r="X47" s="26"/>
    </row>
    <row r="48">
      <c r="A48" s="29" t="s">
        <v>117</v>
      </c>
      <c r="B48" s="27" t="s">
        <v>118</v>
      </c>
      <c r="C48" s="29" t="s">
        <v>117</v>
      </c>
      <c r="D48" s="13">
        <f t="array" ref="D48">XLOOKUP(B48,'Calculations As per GA Data'!B66:B187,'Calculations As per GA Data'!G66:G187)</f>
        <v>5519.999897</v>
      </c>
      <c r="E48" s="30">
        <v>599.0</v>
      </c>
      <c r="F48" s="15">
        <f t="shared" si="1"/>
        <v>507.6271186</v>
      </c>
      <c r="G48" s="16">
        <v>4.75</v>
      </c>
      <c r="H48" s="13">
        <f t="array" ref="H48">XLOOKUP(B48,'Discount calculation'!A:A,'Discount calculation'!D:D)</f>
        <v>6.202894737</v>
      </c>
      <c r="I48" s="13">
        <f t="shared" si="2"/>
        <v>496.6742239</v>
      </c>
      <c r="J48" s="29">
        <v>38.5</v>
      </c>
      <c r="K48" s="18">
        <f t="shared" si="3"/>
        <v>458.1742239</v>
      </c>
      <c r="L48" s="29">
        <v>8.5</v>
      </c>
      <c r="M48" s="20">
        <v>7.52</v>
      </c>
      <c r="N48" s="21">
        <v>133.052</v>
      </c>
      <c r="O48" s="22">
        <v>4.55</v>
      </c>
      <c r="P48" s="23">
        <f t="shared" si="4"/>
        <v>304.5522239</v>
      </c>
      <c r="Q48" s="24">
        <f t="array" ref="Q48">XLOOKUP(B48,'Calculations As per GA Data'!B66:B187,'Calculations As per GA Data'!J66:J187)</f>
        <v>1902.694826</v>
      </c>
      <c r="R48" s="19">
        <f t="array" ref="R48">XLOOKUP(B48,'Calculations As per GA Data'!B66:B187,'Calculations As per GA Data'!F66:F187)</f>
        <v>10</v>
      </c>
      <c r="S48" s="23">
        <f t="shared" si="5"/>
        <v>-1598.142602</v>
      </c>
      <c r="T48" s="25">
        <f t="shared" si="6"/>
        <v>-3.217687823</v>
      </c>
      <c r="U48" s="17">
        <v>229.0</v>
      </c>
      <c r="V48" s="23">
        <f t="shared" si="7"/>
        <v>-1827.142602</v>
      </c>
      <c r="W48" s="25">
        <f t="shared" si="8"/>
        <v>-3.678754633</v>
      </c>
      <c r="X48" s="26"/>
    </row>
    <row r="49">
      <c r="A49" s="11" t="s">
        <v>119</v>
      </c>
      <c r="B49" s="27" t="s">
        <v>120</v>
      </c>
      <c r="C49" s="11" t="s">
        <v>119</v>
      </c>
      <c r="D49" s="13">
        <f t="array" ref="D49">XLOOKUP(B49,'Calculations As per GA Data'!B67:B188,'Calculations As per GA Data'!G67:G188)</f>
        <v>6433.000059</v>
      </c>
      <c r="E49" s="14">
        <v>999.0</v>
      </c>
      <c r="F49" s="15">
        <f t="shared" si="1"/>
        <v>846.6101695</v>
      </c>
      <c r="G49" s="16">
        <v>4.75</v>
      </c>
      <c r="H49" s="13">
        <f t="array" ref="H49">XLOOKUP(B49,'Discount calculation'!A:A,'Discount calculation'!D:D)</f>
        <v>13.53071429</v>
      </c>
      <c r="I49" s="13">
        <f t="shared" si="2"/>
        <v>828.3294552</v>
      </c>
      <c r="J49" s="11">
        <v>217.35</v>
      </c>
      <c r="K49" s="18">
        <f t="shared" si="3"/>
        <v>610.9794552</v>
      </c>
      <c r="L49" s="11">
        <v>12.5</v>
      </c>
      <c r="M49" s="20">
        <v>7.52</v>
      </c>
      <c r="N49" s="21">
        <v>128.31714285714287</v>
      </c>
      <c r="O49" s="22">
        <v>4.55</v>
      </c>
      <c r="P49" s="23">
        <f t="shared" si="4"/>
        <v>458.0923123</v>
      </c>
      <c r="Q49" s="24">
        <f t="array" ref="Q49">XLOOKUP(B49,'Calculations As per GA Data'!B67:B188,'Calculations As per GA Data'!J67:J188)</f>
        <v>1703.68848</v>
      </c>
      <c r="R49" s="19">
        <f t="array" ref="R49">XLOOKUP(B49,'Calculations As per GA Data'!B67:B188,'Calculations As per GA Data'!F67:F188)</f>
        <v>7</v>
      </c>
      <c r="S49" s="23">
        <f t="shared" si="5"/>
        <v>-1245.596167</v>
      </c>
      <c r="T49" s="25">
        <f t="shared" si="6"/>
        <v>-1.503744868</v>
      </c>
      <c r="U49" s="17">
        <v>229.0</v>
      </c>
      <c r="V49" s="23">
        <f t="shared" si="7"/>
        <v>-1474.596167</v>
      </c>
      <c r="W49" s="25">
        <f t="shared" si="8"/>
        <v>-1.780204915</v>
      </c>
      <c r="X49" s="26"/>
    </row>
    <row r="50">
      <c r="A50" s="11" t="s">
        <v>121</v>
      </c>
      <c r="B50" s="27" t="s">
        <v>122</v>
      </c>
      <c r="C50" s="11" t="s">
        <v>121</v>
      </c>
      <c r="D50" s="13">
        <f t="array" ref="D50">XLOOKUP(B50,'Calculations As per GA Data'!B68:B189,'Calculations As per GA Data'!G68:G189)</f>
        <v>10552.00022</v>
      </c>
      <c r="E50" s="14">
        <v>399.0</v>
      </c>
      <c r="F50" s="15">
        <f t="shared" si="1"/>
        <v>338.1355932</v>
      </c>
      <c r="G50" s="16">
        <v>4.75</v>
      </c>
      <c r="H50" s="13">
        <f t="array" ref="H50">XLOOKUP(B50,'Discount calculation'!A:A,'Discount calculation'!D:D)</f>
        <v>16.09488095</v>
      </c>
      <c r="I50" s="13">
        <f t="shared" si="2"/>
        <v>317.2907123</v>
      </c>
      <c r="J50" s="11">
        <v>80.85</v>
      </c>
      <c r="K50" s="18">
        <f t="shared" si="3"/>
        <v>236.4407123</v>
      </c>
      <c r="L50" s="11">
        <v>8.5</v>
      </c>
      <c r="M50" s="20">
        <v>7.52</v>
      </c>
      <c r="N50" s="22" t="s">
        <v>63</v>
      </c>
      <c r="O50" s="22">
        <v>4.55</v>
      </c>
      <c r="P50" s="23">
        <f t="shared" si="4"/>
        <v>215.8707123</v>
      </c>
      <c r="Q50" s="24">
        <f t="array" ref="Q50">XLOOKUP(B50,'Calculations As per GA Data'!B68:B189,'Calculations As per GA Data'!J68:J189)</f>
        <v>1790.14703</v>
      </c>
      <c r="R50" s="19">
        <f t="array" ref="R50">XLOOKUP(B50,'Calculations As per GA Data'!B68:B189,'Calculations As per GA Data'!F68:F189)</f>
        <v>16</v>
      </c>
      <c r="S50" s="23">
        <f t="shared" si="5"/>
        <v>-1574.276317</v>
      </c>
      <c r="T50" s="25">
        <f t="shared" si="6"/>
        <v>-4.961621178</v>
      </c>
      <c r="U50" s="17">
        <v>229.0</v>
      </c>
      <c r="V50" s="23">
        <f t="shared" si="7"/>
        <v>-1803.276317</v>
      </c>
      <c r="W50" s="25">
        <f t="shared" si="8"/>
        <v>-5.683356769</v>
      </c>
      <c r="X50" s="26"/>
    </row>
    <row r="51">
      <c r="A51" s="11" t="s">
        <v>123</v>
      </c>
      <c r="B51" s="27" t="s">
        <v>124</v>
      </c>
      <c r="C51" s="11" t="s">
        <v>123</v>
      </c>
      <c r="D51" s="13">
        <f t="array" ref="D51">XLOOKUP(B51,'Calculations As per GA Data'!B69:B190,'Calculations As per GA Data'!G69:G190)</f>
        <v>8620.000152</v>
      </c>
      <c r="E51" s="14">
        <v>499.0</v>
      </c>
      <c r="F51" s="15">
        <f t="shared" si="1"/>
        <v>422.8813559</v>
      </c>
      <c r="G51" s="16">
        <v>4.75</v>
      </c>
      <c r="H51" s="13">
        <f t="array" ref="H51">XLOOKUP(B51,'Discount calculation'!A:A,'Discount calculation'!D:D)</f>
        <v>5.787419355</v>
      </c>
      <c r="I51" s="13">
        <f t="shared" si="2"/>
        <v>412.3439366</v>
      </c>
      <c r="J51" s="11">
        <v>96.95</v>
      </c>
      <c r="K51" s="18">
        <f t="shared" si="3"/>
        <v>315.3939366</v>
      </c>
      <c r="L51" s="11">
        <v>12.5</v>
      </c>
      <c r="M51" s="20">
        <v>7.52</v>
      </c>
      <c r="N51" s="21">
        <v>119.85055555555556</v>
      </c>
      <c r="O51" s="22">
        <v>4.55</v>
      </c>
      <c r="P51" s="23">
        <f t="shared" si="4"/>
        <v>170.973381</v>
      </c>
      <c r="Q51" s="24">
        <f t="array" ref="Q51">XLOOKUP(B51,'Calculations As per GA Data'!B69:B190,'Calculations As per GA Data'!J69:J190)</f>
        <v>590.8169451</v>
      </c>
      <c r="R51" s="19">
        <f t="array" ref="R51">XLOOKUP(B51,'Calculations As per GA Data'!B69:B190,'Calculations As per GA Data'!F69:F190)</f>
        <v>18</v>
      </c>
      <c r="S51" s="23">
        <f t="shared" si="5"/>
        <v>-419.8435641</v>
      </c>
      <c r="T51" s="25">
        <f t="shared" si="6"/>
        <v>-1.018187796</v>
      </c>
      <c r="U51" s="17">
        <v>229.0</v>
      </c>
      <c r="V51" s="23">
        <f t="shared" si="7"/>
        <v>-648.8435641</v>
      </c>
      <c r="W51" s="25">
        <f t="shared" si="8"/>
        <v>-1.573549424</v>
      </c>
      <c r="X51" s="26"/>
    </row>
    <row r="52">
      <c r="A52" s="11" t="s">
        <v>125</v>
      </c>
      <c r="B52" s="27" t="s">
        <v>126</v>
      </c>
      <c r="C52" s="11" t="s">
        <v>29</v>
      </c>
      <c r="D52" s="13">
        <f t="array" ref="D52">XLOOKUP(B52,'Calculations As per GA Data'!B70:B191,'Calculations As per GA Data'!G70:G191)</f>
        <v>2103.999994</v>
      </c>
      <c r="E52" s="14">
        <v>2147.0</v>
      </c>
      <c r="F52" s="15">
        <f t="shared" si="1"/>
        <v>1819.491525</v>
      </c>
      <c r="G52" s="16">
        <v>4.75</v>
      </c>
      <c r="H52" s="13">
        <f t="array" ref="H52">XLOOKUP(B52,'Discount calculation'!A:A,'Discount calculation'!D:D)</f>
        <v>33.41571429</v>
      </c>
      <c r="I52" s="13">
        <f t="shared" si="2"/>
        <v>1781.325811</v>
      </c>
      <c r="J52" s="11">
        <v>409.6</v>
      </c>
      <c r="K52" s="18">
        <f t="shared" si="3"/>
        <v>1371.725811</v>
      </c>
      <c r="L52" s="11">
        <v>19.5</v>
      </c>
      <c r="M52" s="20">
        <v>7.52</v>
      </c>
      <c r="N52" s="21">
        <v>270.01</v>
      </c>
      <c r="O52" s="22">
        <v>4.55</v>
      </c>
      <c r="P52" s="23">
        <f t="shared" si="4"/>
        <v>1070.145811</v>
      </c>
      <c r="Q52" s="24">
        <f t="array" ref="Q52">XLOOKUP(B52,'Calculations As per GA Data'!B70:B191,'Calculations As per GA Data'!J70:J191)</f>
        <v>3397.669333</v>
      </c>
      <c r="R52" s="19">
        <f t="array" ref="R52">XLOOKUP(B52,'Calculations As per GA Data'!B70:B191,'Calculations As per GA Data'!F70:F191)</f>
        <v>1</v>
      </c>
      <c r="S52" s="23">
        <f t="shared" si="5"/>
        <v>-2327.523522</v>
      </c>
      <c r="T52" s="25">
        <f t="shared" si="6"/>
        <v>-1.306624261</v>
      </c>
      <c r="U52" s="17">
        <v>229.0</v>
      </c>
      <c r="V52" s="23">
        <f t="shared" si="7"/>
        <v>-2556.523522</v>
      </c>
      <c r="W52" s="25">
        <f t="shared" si="8"/>
        <v>-1.435180193</v>
      </c>
      <c r="X52" s="26"/>
    </row>
    <row r="53">
      <c r="A53" s="11" t="s">
        <v>127</v>
      </c>
      <c r="B53" s="27" t="s">
        <v>128</v>
      </c>
      <c r="C53" s="11" t="s">
        <v>127</v>
      </c>
      <c r="D53" s="13">
        <f t="array" ref="D53">XLOOKUP(B53,'Calculations As per GA Data'!B71:B192,'Calculations As per GA Data'!G71:G192)</f>
        <v>6462.000108</v>
      </c>
      <c r="E53" s="14">
        <v>399.0</v>
      </c>
      <c r="F53" s="15">
        <f t="shared" si="1"/>
        <v>338.1355932</v>
      </c>
      <c r="G53" s="16">
        <v>4.75</v>
      </c>
      <c r="H53" s="13">
        <f t="array" ref="H53">XLOOKUP(B53,'Discount calculation'!A:A,'Discount calculation'!D:D)</f>
        <v>14.03915254</v>
      </c>
      <c r="I53" s="13">
        <f t="shared" si="2"/>
        <v>319.3464407</v>
      </c>
      <c r="J53" s="11">
        <v>80.85</v>
      </c>
      <c r="K53" s="18">
        <f t="shared" si="3"/>
        <v>238.4964407</v>
      </c>
      <c r="L53" s="11">
        <v>8.5</v>
      </c>
      <c r="M53" s="20">
        <v>7.52</v>
      </c>
      <c r="N53" s="22" t="s">
        <v>63</v>
      </c>
      <c r="O53" s="22">
        <v>4.55</v>
      </c>
      <c r="P53" s="23">
        <f t="shared" si="4"/>
        <v>217.9264407</v>
      </c>
      <c r="Q53" s="24">
        <f t="array" ref="Q53">XLOOKUP(B53,'Calculations As per GA Data'!B71:B192,'Calculations As per GA Data'!J71:J192)</f>
        <v>1287.339158</v>
      </c>
      <c r="R53" s="19">
        <f t="array" ref="R53">XLOOKUP(B53,'Calculations As per GA Data'!B71:B192,'Calculations As per GA Data'!F71:F192)</f>
        <v>9</v>
      </c>
      <c r="S53" s="23">
        <f t="shared" si="5"/>
        <v>-1069.412718</v>
      </c>
      <c r="T53" s="25">
        <f t="shared" si="6"/>
        <v>-3.348754147</v>
      </c>
      <c r="U53" s="17">
        <v>229.0</v>
      </c>
      <c r="V53" s="23">
        <f t="shared" si="7"/>
        <v>-1298.412718</v>
      </c>
      <c r="W53" s="25">
        <f t="shared" si="8"/>
        <v>-4.065843712</v>
      </c>
      <c r="X53" s="26"/>
    </row>
    <row r="54">
      <c r="A54" s="11" t="s">
        <v>129</v>
      </c>
      <c r="B54" s="27" t="s">
        <v>130</v>
      </c>
      <c r="C54" s="11" t="s">
        <v>29</v>
      </c>
      <c r="D54" s="13">
        <f t="array" ref="D54">XLOOKUP(B54,'Calculations As per GA Data'!B72:B193,'Calculations As per GA Data'!G72:G193)</f>
        <v>1993.999997</v>
      </c>
      <c r="E54" s="14">
        <v>948.0</v>
      </c>
      <c r="F54" s="15">
        <f t="shared" si="1"/>
        <v>803.3898305</v>
      </c>
      <c r="G54" s="16">
        <v>4.75</v>
      </c>
      <c r="H54" s="13">
        <f t="array" ref="H54">XLOOKUP(B54,'Discount calculation'!A:A,'Discount calculation'!D:D)</f>
        <v>20.72142857</v>
      </c>
      <c r="I54" s="13">
        <f t="shared" si="2"/>
        <v>777.9184019</v>
      </c>
      <c r="J54" s="11">
        <v>157.84</v>
      </c>
      <c r="K54" s="18">
        <f t="shared" si="3"/>
        <v>620.0784019</v>
      </c>
      <c r="L54" s="11">
        <v>17.5</v>
      </c>
      <c r="M54" s="20">
        <v>7.52</v>
      </c>
      <c r="N54" s="21">
        <v>74.18</v>
      </c>
      <c r="O54" s="22">
        <v>4.55</v>
      </c>
      <c r="P54" s="23">
        <f t="shared" si="4"/>
        <v>516.3284019</v>
      </c>
      <c r="Q54" s="24">
        <f t="array" ref="Q54">XLOOKUP(B54,'Calculations As per GA Data'!B72:B193,'Calculations As per GA Data'!J72:J193)</f>
        <v>3023.925706</v>
      </c>
      <c r="R54" s="19">
        <f t="array" ref="R54">XLOOKUP(B54,'Calculations As per GA Data'!B72:B193,'Calculations As per GA Data'!F72:F193)</f>
        <v>2</v>
      </c>
      <c r="S54" s="23">
        <f t="shared" si="5"/>
        <v>-2507.597304</v>
      </c>
      <c r="T54" s="25">
        <f t="shared" si="6"/>
        <v>-3.223470865</v>
      </c>
      <c r="U54" s="17">
        <v>229.0</v>
      </c>
      <c r="V54" s="23">
        <f t="shared" si="7"/>
        <v>-2736.597304</v>
      </c>
      <c r="W54" s="25">
        <f t="shared" si="8"/>
        <v>-3.517846213</v>
      </c>
      <c r="X54" s="26"/>
    </row>
    <row r="55">
      <c r="A55" s="11" t="s">
        <v>131</v>
      </c>
      <c r="B55" s="27" t="s">
        <v>132</v>
      </c>
      <c r="C55" s="11" t="s">
        <v>131</v>
      </c>
      <c r="D55" s="13">
        <f t="array" ref="D55">XLOOKUP(B55,'Calculations As per GA Data'!B73:B194,'Calculations As per GA Data'!G73:G194)</f>
        <v>4280.000017</v>
      </c>
      <c r="E55" s="14">
        <v>1099.0</v>
      </c>
      <c r="F55" s="15">
        <f t="shared" si="1"/>
        <v>931.3559322</v>
      </c>
      <c r="G55" s="16">
        <v>4.75</v>
      </c>
      <c r="H55" s="13">
        <f t="array" ref="H55">XLOOKUP(B55,'Discount calculation'!A:A,'Discount calculation'!D:D)</f>
        <v>14.89307692</v>
      </c>
      <c r="I55" s="13">
        <f t="shared" si="2"/>
        <v>911.7128553</v>
      </c>
      <c r="J55" s="11">
        <v>173.95</v>
      </c>
      <c r="K55" s="18">
        <f t="shared" si="3"/>
        <v>737.7628553</v>
      </c>
      <c r="L55" s="11">
        <v>12.5</v>
      </c>
      <c r="M55" s="20">
        <v>7.52</v>
      </c>
      <c r="N55" s="21">
        <v>92.6075</v>
      </c>
      <c r="O55" s="22">
        <v>4.55</v>
      </c>
      <c r="P55" s="23">
        <f t="shared" si="4"/>
        <v>620.5853553</v>
      </c>
      <c r="Q55" s="24">
        <f t="array" ref="Q55">XLOOKUP(B55,'Calculations As per GA Data'!B73:B194,'Calculations As per GA Data'!J73:J194)</f>
        <v>1112.736706</v>
      </c>
      <c r="R55" s="19">
        <f t="array" ref="R55">XLOOKUP(B55,'Calculations As per GA Data'!B73:B194,'Calculations As per GA Data'!F73:F194)</f>
        <v>4</v>
      </c>
      <c r="S55" s="23">
        <f t="shared" si="5"/>
        <v>-492.1513512</v>
      </c>
      <c r="T55" s="25">
        <f t="shared" si="6"/>
        <v>-0.5398095994</v>
      </c>
      <c r="U55" s="17">
        <v>229.0</v>
      </c>
      <c r="V55" s="23">
        <f t="shared" si="7"/>
        <v>-721.1513512</v>
      </c>
      <c r="W55" s="25">
        <f t="shared" si="8"/>
        <v>-0.7909851737</v>
      </c>
      <c r="X55" s="26"/>
    </row>
    <row r="56">
      <c r="A56" s="11" t="s">
        <v>133</v>
      </c>
      <c r="B56" s="27" t="s">
        <v>134</v>
      </c>
      <c r="C56" s="11" t="s">
        <v>29</v>
      </c>
      <c r="D56" s="13">
        <f t="array" ref="D56">XLOOKUP(B56,'Calculations As per GA Data'!B74:B195,'Calculations As per GA Data'!G74:G195)</f>
        <v>18726.00014</v>
      </c>
      <c r="E56" s="14">
        <v>1398.0</v>
      </c>
      <c r="F56" s="15">
        <f t="shared" si="1"/>
        <v>1184.745763</v>
      </c>
      <c r="G56" s="16">
        <v>4.75</v>
      </c>
      <c r="H56" s="13">
        <f t="array" ref="H56">XLOOKUP(B56,'Discount calculation'!A:A,'Discount calculation'!D:D)</f>
        <v>26.87771429</v>
      </c>
      <c r="I56" s="13">
        <f t="shared" si="2"/>
        <v>1153.118048</v>
      </c>
      <c r="J56" s="11">
        <v>304.83</v>
      </c>
      <c r="K56" s="18">
        <f t="shared" si="3"/>
        <v>848.2880484</v>
      </c>
      <c r="L56" s="11">
        <v>11.5</v>
      </c>
      <c r="M56" s="20">
        <v>7.52</v>
      </c>
      <c r="N56" s="21">
        <v>111.6557142857143</v>
      </c>
      <c r="O56" s="22">
        <v>4.55</v>
      </c>
      <c r="P56" s="23">
        <f t="shared" si="4"/>
        <v>713.0623341</v>
      </c>
      <c r="Q56" s="24">
        <f t="array" ref="Q56">XLOOKUP(B56,'Calculations As per GA Data'!B74:B195,'Calculations As per GA Data'!J74:J195)</f>
        <v>434.4162933</v>
      </c>
      <c r="R56" s="19">
        <f t="array" ref="R56">XLOOKUP(B56,'Calculations As per GA Data'!B74:B195,'Calculations As per GA Data'!F74:F195)</f>
        <v>14</v>
      </c>
      <c r="S56" s="23">
        <f t="shared" si="5"/>
        <v>278.6460409</v>
      </c>
      <c r="T56" s="25">
        <f t="shared" si="6"/>
        <v>0.2416457198</v>
      </c>
      <c r="U56" s="17">
        <v>229.0</v>
      </c>
      <c r="V56" s="23">
        <f t="shared" si="7"/>
        <v>49.64604088</v>
      </c>
      <c r="W56" s="25">
        <f t="shared" si="8"/>
        <v>0.04305373673</v>
      </c>
      <c r="X56" s="26"/>
    </row>
    <row r="57">
      <c r="A57" s="11" t="s">
        <v>135</v>
      </c>
      <c r="B57" s="27" t="s">
        <v>136</v>
      </c>
      <c r="C57" s="11" t="s">
        <v>29</v>
      </c>
      <c r="D57" s="13">
        <f t="array" ref="D57">XLOOKUP(B57,'Calculations As per GA Data'!B75:B196,'Calculations As per GA Data'!G75:G196)</f>
        <v>4202.000013</v>
      </c>
      <c r="E57" s="14">
        <v>1089.0</v>
      </c>
      <c r="F57" s="15">
        <f t="shared" si="1"/>
        <v>922.8813559</v>
      </c>
      <c r="G57" s="16">
        <v>4.75</v>
      </c>
      <c r="H57" s="13">
        <f t="array" ref="H57">XLOOKUP(B57,'Discount calculation'!A:A,'Discount calculation'!D:D)</f>
        <v>13.60166667</v>
      </c>
      <c r="I57" s="13">
        <f t="shared" si="2"/>
        <v>904.5296893</v>
      </c>
      <c r="J57" s="11">
        <v>219.36</v>
      </c>
      <c r="K57" s="18">
        <f t="shared" si="3"/>
        <v>685.1696893</v>
      </c>
      <c r="L57" s="11">
        <v>18.0</v>
      </c>
      <c r="M57" s="20">
        <v>7.52</v>
      </c>
      <c r="N57" s="21">
        <v>183.16</v>
      </c>
      <c r="O57" s="22">
        <v>4.55</v>
      </c>
      <c r="P57" s="23">
        <f t="shared" si="4"/>
        <v>471.9396893</v>
      </c>
      <c r="Q57" s="24">
        <f t="array" ref="Q57">XLOOKUP(B57,'Calculations As per GA Data'!B75:B196,'Calculations As per GA Data'!J75:J196)</f>
        <v>1036.289146</v>
      </c>
      <c r="R57" s="19">
        <f t="array" ref="R57">XLOOKUP(B57,'Calculations As per GA Data'!B75:B196,'Calculations As per GA Data'!F75:F196)</f>
        <v>4</v>
      </c>
      <c r="S57" s="23">
        <f t="shared" si="5"/>
        <v>-564.3494572</v>
      </c>
      <c r="T57" s="25">
        <f t="shared" si="6"/>
        <v>-0.6239147967</v>
      </c>
      <c r="U57" s="17">
        <v>229.0</v>
      </c>
      <c r="V57" s="23">
        <f t="shared" si="7"/>
        <v>-793.3494572</v>
      </c>
      <c r="W57" s="25">
        <f t="shared" si="8"/>
        <v>-0.8770850384</v>
      </c>
      <c r="X57" s="26"/>
    </row>
    <row r="58">
      <c r="A58" s="11" t="s">
        <v>137</v>
      </c>
      <c r="B58" s="27" t="s">
        <v>138</v>
      </c>
      <c r="C58" s="11" t="s">
        <v>29</v>
      </c>
      <c r="D58" s="13">
        <f t="array" ref="D58">XLOOKUP(B58,'Calculations As per GA Data'!B76:B197,'Calculations As per GA Data'!G76:G197)</f>
        <v>4778.000032</v>
      </c>
      <c r="E58" s="14">
        <v>1238.0</v>
      </c>
      <c r="F58" s="15">
        <f t="shared" si="1"/>
        <v>1049.152542</v>
      </c>
      <c r="G58" s="16">
        <v>4.75</v>
      </c>
      <c r="H58" s="13">
        <f t="array" ref="H58">XLOOKUP(B58,'Discount calculation'!A:A,'Discount calculation'!D:D)</f>
        <v>20.76866667</v>
      </c>
      <c r="I58" s="13">
        <f t="shared" si="2"/>
        <v>1023.633876</v>
      </c>
      <c r="J58" s="11">
        <v>204.33</v>
      </c>
      <c r="K58" s="18">
        <f t="shared" si="3"/>
        <v>819.3038757</v>
      </c>
      <c r="L58" s="11">
        <v>20.0</v>
      </c>
      <c r="M58" s="20">
        <v>7.52</v>
      </c>
      <c r="N58" s="21">
        <v>297.0075</v>
      </c>
      <c r="O58" s="22">
        <v>4.55</v>
      </c>
      <c r="P58" s="23">
        <f t="shared" si="4"/>
        <v>490.2263757</v>
      </c>
      <c r="Q58" s="24">
        <f t="array" ref="Q58">XLOOKUP(B58,'Calculations As per GA Data'!B76:B197,'Calculations As per GA Data'!J76:J197)</f>
        <v>874.8998532</v>
      </c>
      <c r="R58" s="19">
        <f t="array" ref="R58">XLOOKUP(B58,'Calculations As per GA Data'!B76:B197,'Calculations As per GA Data'!F76:F197)</f>
        <v>4</v>
      </c>
      <c r="S58" s="23">
        <f t="shared" si="5"/>
        <v>-384.6734775</v>
      </c>
      <c r="T58" s="25">
        <f t="shared" si="6"/>
        <v>-0.3757920548</v>
      </c>
      <c r="U58" s="17">
        <v>229.0</v>
      </c>
      <c r="V58" s="23">
        <f t="shared" si="7"/>
        <v>-613.6734775</v>
      </c>
      <c r="W58" s="25">
        <f t="shared" si="8"/>
        <v>-0.5995048543</v>
      </c>
      <c r="X58" s="26"/>
    </row>
    <row r="59">
      <c r="A59" s="11" t="s">
        <v>139</v>
      </c>
      <c r="B59" s="27" t="s">
        <v>140</v>
      </c>
      <c r="C59" s="11" t="s">
        <v>139</v>
      </c>
      <c r="D59" s="13">
        <f t="array" ref="D59">XLOOKUP(B59,'Calculations As per GA Data'!B77:B198,'Calculations As per GA Data'!G77:G198)</f>
        <v>3960.000064</v>
      </c>
      <c r="E59" s="30">
        <v>99.0</v>
      </c>
      <c r="F59" s="15">
        <f t="shared" si="1"/>
        <v>83.89830508</v>
      </c>
      <c r="G59" s="16">
        <v>4.75</v>
      </c>
      <c r="H59" s="13">
        <f t="array" ref="H59">XLOOKUP(B59,'Discount calculation'!A:A,'Discount calculation'!D:D)</f>
        <v>0.8594736842</v>
      </c>
      <c r="I59" s="13">
        <f t="shared" si="2"/>
        <v>78.2888314</v>
      </c>
      <c r="K59" s="18">
        <f t="shared" si="3"/>
        <v>78.2888314</v>
      </c>
      <c r="M59" s="20">
        <v>7.52</v>
      </c>
      <c r="N59" s="21">
        <v>1.5862500000000002</v>
      </c>
      <c r="O59" s="22">
        <v>4.55</v>
      </c>
      <c r="P59" s="23">
        <f t="shared" si="4"/>
        <v>64.6325814</v>
      </c>
      <c r="Q59" s="24">
        <f t="array" ref="Q59">XLOOKUP(B59,'Calculations As per GA Data'!B77:B198,'Calculations As per GA Data'!J77:J198)</f>
        <v>1229.956298</v>
      </c>
      <c r="R59" s="19">
        <f t="array" ref="R59">XLOOKUP(B59,'Calculations As per GA Data'!B77:B198,'Calculations As per GA Data'!F77:F198)</f>
        <v>40</v>
      </c>
      <c r="S59" s="23">
        <f t="shared" si="5"/>
        <v>-1165.323717</v>
      </c>
      <c r="T59" s="25">
        <f t="shared" si="6"/>
        <v>-14.88492926</v>
      </c>
      <c r="U59" s="17">
        <v>229.0</v>
      </c>
      <c r="V59" s="23">
        <f t="shared" si="7"/>
        <v>-1394.323717</v>
      </c>
      <c r="W59" s="25">
        <f t="shared" si="8"/>
        <v>-17.80999527</v>
      </c>
      <c r="X59" s="26"/>
    </row>
    <row r="60">
      <c r="A60" s="11" t="s">
        <v>141</v>
      </c>
      <c r="B60" s="27" t="s">
        <v>142</v>
      </c>
      <c r="C60" s="11" t="s">
        <v>141</v>
      </c>
      <c r="D60" s="13">
        <f t="array" ref="D60">XLOOKUP(B60,'Calculations As per GA Data'!B78:B199,'Calculations As per GA Data'!G78:G199)</f>
        <v>8725.000082</v>
      </c>
      <c r="E60" s="30">
        <v>349.0</v>
      </c>
      <c r="F60" s="15">
        <f t="shared" si="1"/>
        <v>295.7627119</v>
      </c>
      <c r="G60" s="16">
        <v>4.75</v>
      </c>
      <c r="H60" s="13">
        <f t="array" ref="H60">XLOOKUP(B60,'Discount calculation'!A:A,'Discount calculation'!D:D)</f>
        <v>4.698323699</v>
      </c>
      <c r="I60" s="13">
        <f t="shared" si="2"/>
        <v>286.3143882</v>
      </c>
      <c r="J60" s="29">
        <v>50.42</v>
      </c>
      <c r="K60" s="18">
        <f t="shared" si="3"/>
        <v>235.8943882</v>
      </c>
      <c r="L60" s="29">
        <v>5.0</v>
      </c>
      <c r="M60" s="20">
        <v>7.52</v>
      </c>
      <c r="N60" s="21">
        <v>94.7388</v>
      </c>
      <c r="O60" s="22">
        <v>4.55</v>
      </c>
      <c r="P60" s="23">
        <f t="shared" si="4"/>
        <v>124.0855882</v>
      </c>
      <c r="Q60" s="24">
        <f t="array" ref="Q60">XLOOKUP(B60,'Calculations As per GA Data'!B78:B199,'Calculations As per GA Data'!J78:J199)</f>
        <v>292.1995626</v>
      </c>
      <c r="R60" s="19">
        <f t="array" ref="R60">XLOOKUP(B60,'Calculations As per GA Data'!B78:B199,'Calculations As per GA Data'!F78:F199)</f>
        <v>25</v>
      </c>
      <c r="S60" s="23">
        <f t="shared" si="5"/>
        <v>-168.1139745</v>
      </c>
      <c r="T60" s="25">
        <f t="shared" si="6"/>
        <v>-0.5871656522</v>
      </c>
      <c r="U60" s="17">
        <v>229.0</v>
      </c>
      <c r="V60" s="23">
        <f t="shared" si="7"/>
        <v>-397.1139745</v>
      </c>
      <c r="W60" s="25">
        <f t="shared" si="8"/>
        <v>-1.386985743</v>
      </c>
      <c r="X60" s="26"/>
    </row>
    <row r="61">
      <c r="A61" s="11" t="s">
        <v>143</v>
      </c>
      <c r="B61" s="27" t="s">
        <v>144</v>
      </c>
      <c r="C61" s="11" t="s">
        <v>29</v>
      </c>
      <c r="D61" s="13">
        <f t="array" ref="D61">XLOOKUP(B61,'Calculations As per GA Data'!B79:B200,'Calculations As per GA Data'!G79:G200)</f>
        <v>1810.000008</v>
      </c>
      <c r="E61" s="30">
        <v>1847.0</v>
      </c>
      <c r="F61" s="15">
        <f t="shared" si="1"/>
        <v>1565.254237</v>
      </c>
      <c r="G61" s="16">
        <v>4.75</v>
      </c>
      <c r="H61" s="13">
        <f t="array" ref="H61">XLOOKUP(B61,'Discount calculation'!A:A,'Discount calculation'!D:D)</f>
        <v>60.33</v>
      </c>
      <c r="I61" s="13">
        <f t="shared" si="2"/>
        <v>1500.174237</v>
      </c>
      <c r="J61" s="29">
        <v>381.3</v>
      </c>
      <c r="K61" s="18">
        <f t="shared" si="3"/>
        <v>1118.874237</v>
      </c>
      <c r="L61" s="29">
        <v>16.5</v>
      </c>
      <c r="M61" s="20">
        <v>7.52</v>
      </c>
      <c r="N61" s="21">
        <v>174.01</v>
      </c>
      <c r="O61" s="22">
        <v>4.55</v>
      </c>
      <c r="P61" s="23">
        <f t="shared" si="4"/>
        <v>916.2942373</v>
      </c>
      <c r="Q61" s="24">
        <f t="array" ref="Q61">XLOOKUP(B61,'Calculations As per GA Data'!B79:B200,'Calculations As per GA Data'!J79:J200)</f>
        <v>2310.415146</v>
      </c>
      <c r="R61" s="19">
        <f t="array" ref="R61">XLOOKUP(B61,'Calculations As per GA Data'!B79:B200,'Calculations As per GA Data'!F79:F200)</f>
        <v>1</v>
      </c>
      <c r="S61" s="23">
        <f t="shared" si="5"/>
        <v>-1394.120909</v>
      </c>
      <c r="T61" s="25">
        <f t="shared" si="6"/>
        <v>-0.9293059928</v>
      </c>
      <c r="U61" s="17">
        <v>229.0</v>
      </c>
      <c r="V61" s="23">
        <f t="shared" si="7"/>
        <v>-1623.120909</v>
      </c>
      <c r="W61" s="25">
        <f t="shared" si="8"/>
        <v>-1.081954928</v>
      </c>
      <c r="X61" s="26"/>
    </row>
    <row r="62">
      <c r="A62" s="11" t="s">
        <v>145</v>
      </c>
      <c r="B62" s="27" t="s">
        <v>146</v>
      </c>
      <c r="C62" s="11" t="s">
        <v>29</v>
      </c>
      <c r="D62" s="13">
        <f t="array" ref="D62">XLOOKUP(B62,'Calculations As per GA Data'!B80:B201,'Calculations As per GA Data'!G80:G201)</f>
        <v>0</v>
      </c>
      <c r="E62" s="30">
        <v>998.0</v>
      </c>
      <c r="F62" s="15">
        <f t="shared" si="1"/>
        <v>845.7627119</v>
      </c>
      <c r="G62" s="16">
        <v>4.75</v>
      </c>
      <c r="H62" s="13" t="str">
        <f t="array" ref="H62">XLOOKUP(B62,'Discount calculation'!A:A,'Discount calculation'!D:D)</f>
        <v>#N/A</v>
      </c>
      <c r="I62" s="13" t="str">
        <f t="shared" si="2"/>
        <v>#N/A</v>
      </c>
      <c r="J62" s="29">
        <v>141.74</v>
      </c>
      <c r="K62" s="18" t="str">
        <f t="shared" si="3"/>
        <v>#N/A</v>
      </c>
      <c r="L62" s="29">
        <v>10.5</v>
      </c>
      <c r="M62" s="20">
        <v>7.52</v>
      </c>
      <c r="N62" s="22" t="s">
        <v>63</v>
      </c>
      <c r="O62" s="22">
        <v>4.55</v>
      </c>
      <c r="P62" s="23" t="str">
        <f t="shared" si="4"/>
        <v>#N/A</v>
      </c>
      <c r="Q62" s="24" t="str">
        <f t="array" ref="Q62">XLOOKUP(B62,'Calculations As per GA Data'!B80:B201,'Calculations As per GA Data'!J80:J201)</f>
        <v>#DIV/0!</v>
      </c>
      <c r="R62" s="19">
        <f t="array" ref="R62">XLOOKUP(B62,'Calculations As per GA Data'!B80:B201,'Calculations As per GA Data'!F80:F201)</f>
        <v>0</v>
      </c>
      <c r="S62" s="23" t="str">
        <f t="shared" si="5"/>
        <v>#N/A</v>
      </c>
      <c r="T62" s="25" t="str">
        <f t="shared" si="6"/>
        <v>#N/A</v>
      </c>
      <c r="U62" s="17">
        <v>229.0</v>
      </c>
      <c r="V62" s="23" t="str">
        <f t="shared" si="7"/>
        <v>#N/A</v>
      </c>
      <c r="W62" s="25" t="str">
        <f t="shared" si="8"/>
        <v>#N/A</v>
      </c>
      <c r="X62" s="26"/>
    </row>
    <row r="63">
      <c r="A63" s="29" t="s">
        <v>147</v>
      </c>
      <c r="B63" s="27" t="s">
        <v>148</v>
      </c>
      <c r="C63" s="11" t="s">
        <v>29</v>
      </c>
      <c r="D63" s="13">
        <f t="array" ref="D63">XLOOKUP(B63,'Calculations As per GA Data'!B81:B202,'Calculations As per GA Data'!G81:G202)</f>
        <v>8358.999938</v>
      </c>
      <c r="E63" s="31">
        <v>1098.0</v>
      </c>
      <c r="F63" s="15">
        <f t="shared" si="1"/>
        <v>930.5084746</v>
      </c>
      <c r="G63" s="16">
        <v>4.75</v>
      </c>
      <c r="H63" s="13" t="str">
        <f t="array" ref="H63">XLOOKUP(B63,'Discount calculation'!A:A,'Discount calculation'!D:D)</f>
        <v>#N/A</v>
      </c>
      <c r="I63" s="13" t="str">
        <f t="shared" si="2"/>
        <v>#N/A</v>
      </c>
      <c r="J63" s="29">
        <v>134.33</v>
      </c>
      <c r="K63" s="18" t="str">
        <f t="shared" si="3"/>
        <v>#N/A</v>
      </c>
      <c r="L63" s="29">
        <v>15.0</v>
      </c>
      <c r="M63" s="20">
        <v>7.52</v>
      </c>
      <c r="N63" s="21">
        <v>141.00625</v>
      </c>
      <c r="O63" s="22">
        <v>4.55</v>
      </c>
      <c r="P63" s="23" t="str">
        <f t="shared" si="4"/>
        <v>#N/A</v>
      </c>
      <c r="Q63" s="24">
        <f t="array" ref="Q63">XLOOKUP(B63,'Calculations As per GA Data'!B81:B202,'Calculations As per GA Data'!J81:J202)</f>
        <v>1282.620173</v>
      </c>
      <c r="R63" s="19">
        <f t="array" ref="R63">XLOOKUP(B63,'Calculations As per GA Data'!B81:B202,'Calculations As per GA Data'!F81:F202)</f>
        <v>8</v>
      </c>
      <c r="S63" s="23" t="str">
        <f t="shared" si="5"/>
        <v>#N/A</v>
      </c>
      <c r="T63" s="25" t="str">
        <f t="shared" si="6"/>
        <v>#N/A</v>
      </c>
      <c r="U63" s="17">
        <v>229.0</v>
      </c>
      <c r="V63" s="23" t="str">
        <f t="shared" si="7"/>
        <v>#N/A</v>
      </c>
      <c r="W63" s="25" t="str">
        <f t="shared" si="8"/>
        <v>#N/A</v>
      </c>
      <c r="X63" s="26"/>
    </row>
    <row r="64">
      <c r="A64" s="11" t="s">
        <v>149</v>
      </c>
      <c r="B64" s="27" t="s">
        <v>150</v>
      </c>
      <c r="C64" s="11" t="s">
        <v>29</v>
      </c>
      <c r="D64" s="13">
        <f t="array" ref="D64">XLOOKUP(B64,'Calculations As per GA Data'!B82:B203,'Calculations As per GA Data'!G82:G203)</f>
        <v>5236.999978</v>
      </c>
      <c r="E64" s="30">
        <v>1098.0</v>
      </c>
      <c r="F64" s="15">
        <f t="shared" si="1"/>
        <v>930.5084746</v>
      </c>
      <c r="G64" s="16">
        <v>4.75</v>
      </c>
      <c r="H64" s="13">
        <f t="array" ref="H64">XLOOKUP(B64,'Discount calculation'!A:A,'Discount calculation'!D:D)</f>
        <v>19.025</v>
      </c>
      <c r="I64" s="13">
        <f t="shared" si="2"/>
        <v>906.7334746</v>
      </c>
      <c r="J64" s="29">
        <v>139.36</v>
      </c>
      <c r="K64" s="18">
        <f t="shared" si="3"/>
        <v>767.3734746</v>
      </c>
      <c r="L64" s="29">
        <v>11.5</v>
      </c>
      <c r="M64" s="20">
        <v>7.52</v>
      </c>
      <c r="N64" s="21">
        <v>144.898</v>
      </c>
      <c r="O64" s="22">
        <v>4.55</v>
      </c>
      <c r="P64" s="23">
        <f t="shared" si="4"/>
        <v>598.9054746</v>
      </c>
      <c r="Q64" s="24">
        <f t="array" ref="Q64">XLOOKUP(B64,'Calculations As per GA Data'!B82:B203,'Calculations As per GA Data'!J82:J203)</f>
        <v>530.0364159</v>
      </c>
      <c r="R64" s="19">
        <f t="array" ref="R64">XLOOKUP(B64,'Calculations As per GA Data'!B82:B203,'Calculations As per GA Data'!F82:F203)</f>
        <v>5</v>
      </c>
      <c r="S64" s="23">
        <f t="shared" si="5"/>
        <v>68.86905867</v>
      </c>
      <c r="T64" s="25">
        <f t="shared" si="6"/>
        <v>0.07595292398</v>
      </c>
      <c r="U64" s="17">
        <v>229.0</v>
      </c>
      <c r="V64" s="23">
        <f t="shared" si="7"/>
        <v>-160.1309413</v>
      </c>
      <c r="W64" s="25">
        <f t="shared" si="8"/>
        <v>-0.1766019959</v>
      </c>
      <c r="X64" s="26"/>
    </row>
    <row r="65" hidden="1">
      <c r="A65" s="11" t="s">
        <v>151</v>
      </c>
      <c r="B65" s="27" t="s">
        <v>152</v>
      </c>
      <c r="C65" s="11" t="s">
        <v>29</v>
      </c>
      <c r="D65" s="13">
        <f t="array" ref="D65">XLOOKUP(B65,'Calculations As per GA Data'!B83:B204,'Calculations As per GA Data'!G83:G204)</f>
        <v>0</v>
      </c>
      <c r="E65" s="30">
        <v>2246.0</v>
      </c>
      <c r="F65" s="15">
        <f t="shared" si="1"/>
        <v>1903.389831</v>
      </c>
      <c r="G65" s="16">
        <v>4.75</v>
      </c>
      <c r="H65" s="13">
        <f t="array" ref="H65">XLOOKUP(B65,'Discount calculation'!A:A,'Discount calculation'!D:D)</f>
        <v>27.64333333</v>
      </c>
      <c r="I65" s="13">
        <f t="shared" si="2"/>
        <v>1870.996497</v>
      </c>
      <c r="J65" s="29">
        <v>309.88</v>
      </c>
      <c r="K65" s="18">
        <f t="shared" si="3"/>
        <v>1561.116497</v>
      </c>
      <c r="L65" s="29">
        <v>25.0</v>
      </c>
      <c r="M65" s="20">
        <v>7.52</v>
      </c>
      <c r="N65" s="22" t="s">
        <v>63</v>
      </c>
      <c r="O65" s="22">
        <v>4.55</v>
      </c>
      <c r="P65" s="23">
        <f t="shared" si="4"/>
        <v>1524.046497</v>
      </c>
      <c r="Q65" s="24" t="str">
        <f t="array" ref="Q65">XLOOKUP(B65,'Calculations As per GA Data'!B83:B204,'Calculations As per GA Data'!J83:J204)</f>
        <v>#DIV/0!</v>
      </c>
      <c r="R65" s="19">
        <f t="array" ref="R65">XLOOKUP(B65,'Calculations As per GA Data'!B83:B204,'Calculations As per GA Data'!F83:F204)</f>
        <v>0</v>
      </c>
      <c r="S65" s="23" t="str">
        <f t="shared" si="5"/>
        <v>#DIV/0!</v>
      </c>
      <c r="T65" s="25" t="str">
        <f t="shared" si="6"/>
        <v>#DIV/0!</v>
      </c>
      <c r="U65" s="17">
        <v>229.0</v>
      </c>
      <c r="V65" s="23" t="str">
        <f t="shared" si="7"/>
        <v>#DIV/0!</v>
      </c>
      <c r="W65" s="25" t="str">
        <f t="shared" si="8"/>
        <v>#DIV/0!</v>
      </c>
      <c r="X65" s="26"/>
    </row>
    <row r="66">
      <c r="A66" s="11" t="s">
        <v>153</v>
      </c>
      <c r="B66" s="27" t="s">
        <v>154</v>
      </c>
      <c r="C66" s="11" t="s">
        <v>29</v>
      </c>
      <c r="D66" s="14" t="str">
        <f t="array" ref="D66">XLOOKUP(B66,'Calculations As per GA Data'!B84:B205,'Calculations As per GA Data'!G84:G205)</f>
        <v>#N/A</v>
      </c>
      <c r="E66" s="14" t="s">
        <v>63</v>
      </c>
      <c r="F66" s="32">
        <v>1048.0</v>
      </c>
      <c r="G66" s="16">
        <v>4.75</v>
      </c>
      <c r="H66" s="13" t="str">
        <f t="array" ref="H66">XLOOKUP(B66,'Discount calculation'!A:A,'Discount calculation'!D:D)</f>
        <v>#N/A</v>
      </c>
      <c r="I66" s="13" t="str">
        <f t="shared" si="2"/>
        <v>#N/A</v>
      </c>
      <c r="J66" s="29">
        <v>135.4</v>
      </c>
      <c r="K66" s="18" t="str">
        <f t="shared" si="3"/>
        <v>#N/A</v>
      </c>
      <c r="L66" s="29">
        <v>13.5</v>
      </c>
      <c r="M66" s="20">
        <v>7.52</v>
      </c>
      <c r="N66" s="22" t="s">
        <v>63</v>
      </c>
      <c r="O66" s="22">
        <v>4.55</v>
      </c>
      <c r="P66" s="23" t="str">
        <f t="shared" si="4"/>
        <v>#N/A</v>
      </c>
      <c r="Q66" s="24" t="str">
        <f t="array" ref="Q66">XLOOKUP(B66,'Calculations As per GA Data'!B84:B205,'Calculations As per GA Data'!J84:J205)</f>
        <v>#VALUE!</v>
      </c>
      <c r="R66" s="19" t="str">
        <f t="array" ref="R66">XLOOKUP(B66,'Calculations As per GA Data'!B84:B205,'Calculations As per GA Data'!F84:F205)</f>
        <v>NA</v>
      </c>
      <c r="S66" s="23" t="str">
        <f t="shared" si="5"/>
        <v>#N/A</v>
      </c>
      <c r="T66" s="25" t="str">
        <f t="shared" si="6"/>
        <v>#N/A</v>
      </c>
      <c r="U66" s="17">
        <v>229.0</v>
      </c>
      <c r="V66" s="23" t="str">
        <f t="shared" si="7"/>
        <v>#N/A</v>
      </c>
      <c r="W66" s="25" t="str">
        <f t="shared" si="8"/>
        <v>#N/A</v>
      </c>
      <c r="X66" s="26"/>
    </row>
    <row r="67">
      <c r="A67" s="11" t="s">
        <v>155</v>
      </c>
      <c r="B67" s="27" t="s">
        <v>156</v>
      </c>
      <c r="C67" s="11" t="s">
        <v>29</v>
      </c>
      <c r="D67" s="13">
        <f t="array" ref="D67">XLOOKUP(B67,'Calculations As per GA Data'!B85:B206,'Calculations As per GA Data'!G85:G206)</f>
        <v>1711.999963</v>
      </c>
      <c r="E67" s="30">
        <v>1747.0</v>
      </c>
      <c r="F67" s="15">
        <f t="shared" ref="F67:F77" si="9">E67/1.18</f>
        <v>1480.508475</v>
      </c>
      <c r="G67" s="16">
        <v>4.75</v>
      </c>
      <c r="H67" s="13">
        <f t="array" ref="H67">XLOOKUP(B67,'Discount calculation'!A:A,'Discount calculation'!D:D)</f>
        <v>22.688</v>
      </c>
      <c r="I67" s="13">
        <f t="shared" si="2"/>
        <v>1453.070475</v>
      </c>
      <c r="J67" s="29">
        <v>435.83</v>
      </c>
      <c r="K67" s="18">
        <f t="shared" si="3"/>
        <v>1017.240475</v>
      </c>
      <c r="L67" s="29">
        <v>20.0</v>
      </c>
      <c r="M67" s="20">
        <v>7.52</v>
      </c>
      <c r="N67" s="21">
        <v>505.33</v>
      </c>
      <c r="O67" s="22">
        <v>4.55</v>
      </c>
      <c r="P67" s="23">
        <f t="shared" si="4"/>
        <v>479.8404746</v>
      </c>
      <c r="Q67" s="24">
        <f t="array" ref="Q67">XLOOKUP(B67,'Calculations As per GA Data'!B85:B206,'Calculations As per GA Data'!J85:J206)</f>
        <v>2955.97232</v>
      </c>
      <c r="R67" s="19">
        <f t="array" ref="R67">XLOOKUP(B67,'Calculations As per GA Data'!B85:B206,'Calculations As per GA Data'!F85:F206)</f>
        <v>1</v>
      </c>
      <c r="S67" s="23">
        <f t="shared" si="5"/>
        <v>-2476.131845</v>
      </c>
      <c r="T67" s="25">
        <f t="shared" si="6"/>
        <v>-1.704068652</v>
      </c>
      <c r="U67" s="17">
        <v>229.0</v>
      </c>
      <c r="V67" s="23">
        <f t="shared" si="7"/>
        <v>-2705.131845</v>
      </c>
      <c r="W67" s="25">
        <f t="shared" si="8"/>
        <v>-1.861665963</v>
      </c>
      <c r="X67" s="26"/>
    </row>
    <row r="68">
      <c r="A68" s="11" t="s">
        <v>157</v>
      </c>
      <c r="B68" s="27" t="s">
        <v>158</v>
      </c>
      <c r="C68" s="11" t="s">
        <v>29</v>
      </c>
      <c r="D68" s="13">
        <f t="array" ref="D68">XLOOKUP(B68,'Calculations As per GA Data'!B86:B207,'Calculations As per GA Data'!G86:G207)</f>
        <v>1418.000034</v>
      </c>
      <c r="E68" s="30">
        <v>1447.0</v>
      </c>
      <c r="F68" s="15">
        <f t="shared" si="9"/>
        <v>1226.271186</v>
      </c>
      <c r="G68" s="16">
        <v>4.75</v>
      </c>
      <c r="H68" s="13">
        <f t="array" ref="H68">XLOOKUP(B68,'Discount calculation'!A:A,'Discount calculation'!D:D)</f>
        <v>13.81833333</v>
      </c>
      <c r="I68" s="13">
        <f t="shared" si="2"/>
        <v>1207.702853</v>
      </c>
      <c r="J68" s="29">
        <v>174.27</v>
      </c>
      <c r="K68" s="18">
        <f t="shared" si="3"/>
        <v>1033.432853</v>
      </c>
      <c r="L68" s="29">
        <v>16.5</v>
      </c>
      <c r="M68" s="20">
        <v>7.52</v>
      </c>
      <c r="N68" s="21">
        <v>407.32</v>
      </c>
      <c r="O68" s="22">
        <v>4.55</v>
      </c>
      <c r="P68" s="23">
        <f t="shared" si="4"/>
        <v>597.5428531</v>
      </c>
      <c r="Q68" s="24">
        <f t="array" ref="Q68">XLOOKUP(B68,'Calculations As per GA Data'!B86:B207,'Calculations As per GA Data'!J86:J207)</f>
        <v>3329.715946</v>
      </c>
      <c r="R68" s="19">
        <f t="array" ref="R68">XLOOKUP(B68,'Calculations As per GA Data'!B86:B207,'Calculations As per GA Data'!F86:F207)</f>
        <v>1</v>
      </c>
      <c r="S68" s="23">
        <f t="shared" si="5"/>
        <v>-2732.173093</v>
      </c>
      <c r="T68" s="25">
        <f t="shared" si="6"/>
        <v>-2.262289176</v>
      </c>
      <c r="U68" s="17">
        <v>229.0</v>
      </c>
      <c r="V68" s="23">
        <f t="shared" si="7"/>
        <v>-2961.173093</v>
      </c>
      <c r="W68" s="25">
        <f t="shared" si="8"/>
        <v>-2.451905355</v>
      </c>
      <c r="X68" s="26"/>
    </row>
    <row r="69">
      <c r="A69" s="29" t="s">
        <v>159</v>
      </c>
      <c r="B69" s="27" t="s">
        <v>160</v>
      </c>
      <c r="C69" s="29" t="s">
        <v>159</v>
      </c>
      <c r="D69" s="13">
        <f t="array" ref="D69">XLOOKUP(B69,'Calculations As per GA Data'!B87:B208,'Calculations As per GA Data'!G87:G208)</f>
        <v>14111.99951</v>
      </c>
      <c r="E69" s="31">
        <v>160.0</v>
      </c>
      <c r="F69" s="15">
        <f t="shared" si="9"/>
        <v>135.5932203</v>
      </c>
      <c r="G69" s="16">
        <v>4.75</v>
      </c>
      <c r="H69" s="13">
        <f t="array" ref="H69">XLOOKUP(B69,'Discount calculation'!A:A,'Discount calculation'!D:D)</f>
        <v>1.545768501</v>
      </c>
      <c r="I69" s="13">
        <f t="shared" si="2"/>
        <v>129.2974518</v>
      </c>
      <c r="K69" s="18">
        <f t="shared" si="3"/>
        <v>129.2974518</v>
      </c>
      <c r="M69" s="20">
        <v>7.52</v>
      </c>
      <c r="N69" s="21">
        <v>103.91961904761904</v>
      </c>
      <c r="O69" s="22">
        <v>4.55</v>
      </c>
      <c r="P69" s="23">
        <f t="shared" si="4"/>
        <v>13.30783279</v>
      </c>
      <c r="Q69" s="24">
        <f t="array" ref="Q69">XLOOKUP(B69,'Calculations As per GA Data'!B87:B208,'Calculations As per GA Data'!J87:J208)</f>
        <v>59.21652266</v>
      </c>
      <c r="R69" s="19">
        <f t="array" ref="R69">XLOOKUP(B69,'Calculations As per GA Data'!B87:B208,'Calculations As per GA Data'!F87:F208)</f>
        <v>105</v>
      </c>
      <c r="S69" s="23">
        <f t="shared" si="5"/>
        <v>-45.90868987</v>
      </c>
      <c r="T69" s="25">
        <f t="shared" si="6"/>
        <v>-0.3550626034</v>
      </c>
      <c r="U69" s="17">
        <v>229.0</v>
      </c>
      <c r="V69" s="23">
        <f t="shared" si="7"/>
        <v>-274.9086899</v>
      </c>
      <c r="W69" s="25">
        <f t="shared" si="8"/>
        <v>-2.126172527</v>
      </c>
      <c r="X69" s="26"/>
    </row>
    <row r="70">
      <c r="A70" s="11" t="s">
        <v>161</v>
      </c>
      <c r="B70" s="27" t="s">
        <v>162</v>
      </c>
      <c r="C70" s="11" t="s">
        <v>29</v>
      </c>
      <c r="D70" s="13">
        <f t="array" ref="D70">XLOOKUP(B70,'Calculations As per GA Data'!B88:B209,'Calculations As per GA Data'!G88:G209)</f>
        <v>2534.999936</v>
      </c>
      <c r="E70" s="30">
        <v>1098.0</v>
      </c>
      <c r="F70" s="15">
        <f t="shared" si="9"/>
        <v>930.5084746</v>
      </c>
      <c r="G70" s="16">
        <v>4.75</v>
      </c>
      <c r="H70" s="13">
        <f t="array" ref="H70">XLOOKUP(B70,'Discount calculation'!A:A,'Discount calculation'!D:D)</f>
        <v>11.02</v>
      </c>
      <c r="I70" s="13">
        <f t="shared" si="2"/>
        <v>914.7384746</v>
      </c>
      <c r="J70" s="29">
        <v>212.0</v>
      </c>
      <c r="K70" s="18">
        <f t="shared" si="3"/>
        <v>702.7384746</v>
      </c>
      <c r="L70" s="29">
        <v>11.0</v>
      </c>
      <c r="M70" s="20">
        <v>7.52</v>
      </c>
      <c r="N70" s="21">
        <v>87.66000000000001</v>
      </c>
      <c r="O70" s="22">
        <v>4.55</v>
      </c>
      <c r="P70" s="23">
        <f t="shared" si="4"/>
        <v>592.0084746</v>
      </c>
      <c r="Q70" s="24">
        <f t="array" ref="Q70">XLOOKUP(B70,'Calculations As per GA Data'!B88:B209,'Calculations As per GA Data'!J88:J209)</f>
        <v>2219.810631</v>
      </c>
      <c r="R70" s="19">
        <f t="array" ref="R70">XLOOKUP(B70,'Calculations As per GA Data'!B88:B209,'Calculations As per GA Data'!F88:F209)</f>
        <v>3</v>
      </c>
      <c r="S70" s="23">
        <f t="shared" si="5"/>
        <v>-1627.802156</v>
      </c>
      <c r="T70" s="25">
        <f t="shared" si="6"/>
        <v>-1.779527375</v>
      </c>
      <c r="U70" s="17">
        <v>229.0</v>
      </c>
      <c r="V70" s="23">
        <f t="shared" si="7"/>
        <v>-1856.802156</v>
      </c>
      <c r="W70" s="25">
        <f t="shared" si="8"/>
        <v>-2.029872152</v>
      </c>
      <c r="X70" s="26"/>
    </row>
    <row r="71">
      <c r="A71" s="11" t="s">
        <v>163</v>
      </c>
      <c r="B71" s="27" t="s">
        <v>164</v>
      </c>
      <c r="C71" s="11" t="s">
        <v>163</v>
      </c>
      <c r="D71" s="13">
        <f t="array" ref="D71">XLOOKUP(B71,'Calculations As per GA Data'!B89:B210,'Calculations As per GA Data'!G89:G210)</f>
        <v>0</v>
      </c>
      <c r="E71" s="30">
        <v>549.0</v>
      </c>
      <c r="F71" s="15">
        <f t="shared" si="9"/>
        <v>465.2542373</v>
      </c>
      <c r="G71" s="16">
        <v>4.75</v>
      </c>
      <c r="H71" s="13" t="str">
        <f t="array" ref="H71">XLOOKUP(B71,'Discount calculation'!A:A,'Discount calculation'!D:D)</f>
        <v>#N/A</v>
      </c>
      <c r="I71" s="13" t="str">
        <f t="shared" si="2"/>
        <v>#N/A</v>
      </c>
      <c r="J71" s="29">
        <v>106.0</v>
      </c>
      <c r="K71" s="18" t="str">
        <f t="shared" si="3"/>
        <v>#N/A</v>
      </c>
      <c r="L71" s="29">
        <v>5.5</v>
      </c>
      <c r="M71" s="20">
        <v>7.52</v>
      </c>
      <c r="N71" s="22" t="s">
        <v>63</v>
      </c>
      <c r="O71" s="22">
        <v>4.55</v>
      </c>
      <c r="P71" s="23" t="str">
        <f t="shared" si="4"/>
        <v>#N/A</v>
      </c>
      <c r="Q71" s="24" t="str">
        <f t="array" ref="Q71">XLOOKUP(B71,'Calculations As per GA Data'!B89:B210,'Calculations As per GA Data'!J89:J210)</f>
        <v>#DIV/0!</v>
      </c>
      <c r="R71" s="19">
        <f t="array" ref="R71">XLOOKUP(B71,'Calculations As per GA Data'!B89:B210,'Calculations As per GA Data'!F89:F210)</f>
        <v>0</v>
      </c>
      <c r="S71" s="23" t="str">
        <f t="shared" si="5"/>
        <v>#N/A</v>
      </c>
      <c r="T71" s="25" t="str">
        <f t="shared" si="6"/>
        <v>#N/A</v>
      </c>
      <c r="U71" s="17">
        <v>229.0</v>
      </c>
      <c r="V71" s="23" t="str">
        <f t="shared" si="7"/>
        <v>#N/A</v>
      </c>
      <c r="W71" s="25" t="str">
        <f t="shared" si="8"/>
        <v>#N/A</v>
      </c>
      <c r="X71" s="26"/>
    </row>
    <row r="72">
      <c r="A72" s="11" t="s">
        <v>139</v>
      </c>
      <c r="B72" s="27" t="s">
        <v>165</v>
      </c>
      <c r="C72" s="11" t="s">
        <v>139</v>
      </c>
      <c r="D72" s="13">
        <f t="array" ref="D72">XLOOKUP(B72,'Calculations As per GA Data'!B90:B211,'Calculations As per GA Data'!G90:G211)</f>
        <v>792.000047</v>
      </c>
      <c r="E72" s="31">
        <v>99.0</v>
      </c>
      <c r="F72" s="15">
        <f t="shared" si="9"/>
        <v>83.89830508</v>
      </c>
      <c r="G72" s="16">
        <v>4.75</v>
      </c>
      <c r="H72" s="13">
        <f t="array" ref="H72">XLOOKUP(B72,'Discount calculation'!A:A,'Discount calculation'!D:D)</f>
        <v>0.9192682927</v>
      </c>
      <c r="I72" s="13">
        <f t="shared" si="2"/>
        <v>78.22903679</v>
      </c>
      <c r="K72" s="18">
        <f t="shared" si="3"/>
        <v>78.22903679</v>
      </c>
      <c r="M72" s="20">
        <v>7.52</v>
      </c>
      <c r="N72" s="22" t="s">
        <v>63</v>
      </c>
      <c r="O72" s="22">
        <v>4.55</v>
      </c>
      <c r="P72" s="23">
        <f t="shared" si="4"/>
        <v>66.15903679</v>
      </c>
      <c r="Q72" s="24">
        <f t="array" ref="Q72">XLOOKUP(B72,'Calculations As per GA Data'!B90:B211,'Calculations As per GA Data'!J90:J211)</f>
        <v>832.4289865</v>
      </c>
      <c r="R72" s="19">
        <f t="array" ref="R72">XLOOKUP(B72,'Calculations As per GA Data'!B90:B211,'Calculations As per GA Data'!F90:F211)</f>
        <v>8</v>
      </c>
      <c r="S72" s="23">
        <f t="shared" si="5"/>
        <v>-766.2699497</v>
      </c>
      <c r="T72" s="25">
        <f t="shared" si="6"/>
        <v>-9.795211358</v>
      </c>
      <c r="U72" s="17">
        <v>229.0</v>
      </c>
      <c r="V72" s="23">
        <f t="shared" si="7"/>
        <v>-995.2699497</v>
      </c>
      <c r="W72" s="25">
        <f t="shared" si="8"/>
        <v>-12.72251316</v>
      </c>
      <c r="X72" s="26"/>
    </row>
    <row r="73">
      <c r="A73" s="11" t="s">
        <v>166</v>
      </c>
      <c r="B73" s="27" t="s">
        <v>167</v>
      </c>
      <c r="C73" s="11" t="s">
        <v>29</v>
      </c>
      <c r="D73" s="13">
        <f t="array" ref="D73">XLOOKUP(B73,'Calculations As per GA Data'!B91:B212,'Calculations As per GA Data'!G91:G212)</f>
        <v>1420.000067</v>
      </c>
      <c r="E73" s="30">
        <v>748.0</v>
      </c>
      <c r="F73" s="15">
        <f t="shared" si="9"/>
        <v>633.8983051</v>
      </c>
      <c r="G73" s="16">
        <v>4.75</v>
      </c>
      <c r="H73" s="13">
        <f t="array" ref="H73">XLOOKUP(B73,'Discount calculation'!A:A,'Discount calculation'!D:D)</f>
        <v>8.097826087</v>
      </c>
      <c r="I73" s="13">
        <f t="shared" si="2"/>
        <v>621.050479</v>
      </c>
      <c r="J73" s="29">
        <v>104.42</v>
      </c>
      <c r="K73" s="18">
        <f t="shared" si="3"/>
        <v>516.630479</v>
      </c>
      <c r="L73" s="29">
        <v>13.5</v>
      </c>
      <c r="M73" s="20">
        <v>7.52</v>
      </c>
      <c r="N73" s="21">
        <v>110.26</v>
      </c>
      <c r="O73" s="22">
        <v>4.55</v>
      </c>
      <c r="P73" s="23">
        <f t="shared" si="4"/>
        <v>380.800479</v>
      </c>
      <c r="Q73" s="24">
        <f t="array" ref="Q73">XLOOKUP(B73,'Calculations As per GA Data'!B91:B212,'Calculations As per GA Data'!J91:J212)</f>
        <v>1477.98616</v>
      </c>
      <c r="R73" s="19">
        <f t="array" ref="R73">XLOOKUP(B73,'Calculations As per GA Data'!B91:B212,'Calculations As per GA Data'!F91:F212)</f>
        <v>2</v>
      </c>
      <c r="S73" s="23">
        <f t="shared" si="5"/>
        <v>-1097.185681</v>
      </c>
      <c r="T73" s="25">
        <f t="shared" si="6"/>
        <v>-1.766661033</v>
      </c>
      <c r="U73" s="17">
        <v>229.0</v>
      </c>
      <c r="V73" s="23">
        <f t="shared" si="7"/>
        <v>-1326.185681</v>
      </c>
      <c r="W73" s="25">
        <f t="shared" si="8"/>
        <v>-2.135391125</v>
      </c>
      <c r="X73" s="26"/>
    </row>
    <row r="74">
      <c r="A74" s="11" t="s">
        <v>168</v>
      </c>
      <c r="B74" s="27" t="s">
        <v>169</v>
      </c>
      <c r="C74" s="11" t="s">
        <v>168</v>
      </c>
      <c r="D74" s="13">
        <f t="array" ref="D74">XLOOKUP(B74,'Calculations As per GA Data'!B92:B213,'Calculations As per GA Data'!G92:G213)</f>
        <v>0</v>
      </c>
      <c r="E74" s="30">
        <v>699.0</v>
      </c>
      <c r="F74" s="15">
        <f t="shared" si="9"/>
        <v>592.3728814</v>
      </c>
      <c r="G74" s="16">
        <v>4.75</v>
      </c>
      <c r="H74" s="13" t="str">
        <f t="array" ref="H74">XLOOKUP(B74,'Discount calculation'!A:A,'Discount calculation'!D:D)</f>
        <v>#N/A</v>
      </c>
      <c r="I74" s="13" t="str">
        <f t="shared" si="2"/>
        <v>#N/A</v>
      </c>
      <c r="J74" s="29">
        <v>105.0</v>
      </c>
      <c r="K74" s="18" t="str">
        <f t="shared" si="3"/>
        <v>#N/A</v>
      </c>
      <c r="L74" s="29">
        <v>8.5</v>
      </c>
      <c r="M74" s="20">
        <v>7.52</v>
      </c>
      <c r="N74" s="21" t="e">
        <v>#DIV/0!</v>
      </c>
      <c r="O74" s="22">
        <v>4.55</v>
      </c>
      <c r="P74" s="23" t="str">
        <f t="shared" si="4"/>
        <v>#N/A</v>
      </c>
      <c r="Q74" s="24" t="str">
        <f t="array" ref="Q74">XLOOKUP(B74,'Calculations As per GA Data'!B92:B213,'Calculations As per GA Data'!J92:J213)</f>
        <v>#DIV/0!</v>
      </c>
      <c r="R74" s="19">
        <f t="array" ref="R74">XLOOKUP(B74,'Calculations As per GA Data'!B92:B213,'Calculations As per GA Data'!F92:F213)</f>
        <v>0</v>
      </c>
      <c r="S74" s="23" t="str">
        <f t="shared" si="5"/>
        <v>#N/A</v>
      </c>
      <c r="T74" s="25" t="str">
        <f t="shared" si="6"/>
        <v>#N/A</v>
      </c>
      <c r="U74" s="17">
        <v>229.0</v>
      </c>
      <c r="V74" s="23" t="str">
        <f t="shared" si="7"/>
        <v>#N/A</v>
      </c>
      <c r="W74" s="25" t="str">
        <f t="shared" si="8"/>
        <v>#N/A</v>
      </c>
      <c r="X74" s="26"/>
    </row>
    <row r="75" hidden="1">
      <c r="A75" s="11" t="s">
        <v>170</v>
      </c>
      <c r="B75" s="27" t="s">
        <v>171</v>
      </c>
      <c r="C75" s="11" t="s">
        <v>170</v>
      </c>
      <c r="D75" s="13">
        <f t="array" ref="D75">XLOOKUP(B75,'Calculations As per GA Data'!B93:B214,'Calculations As per GA Data'!G93:G214)</f>
        <v>843.999998</v>
      </c>
      <c r="E75" s="30">
        <v>549.0</v>
      </c>
      <c r="F75" s="15">
        <f t="shared" si="9"/>
        <v>465.2542373</v>
      </c>
      <c r="G75" s="16">
        <v>4.75</v>
      </c>
      <c r="H75" s="13">
        <f t="array" ref="H75">XLOOKUP(B75,'Discount calculation'!A:A,'Discount calculation'!D:D)</f>
        <v>0.05903940887</v>
      </c>
      <c r="I75" s="13">
        <f t="shared" si="2"/>
        <v>460.4451979</v>
      </c>
      <c r="K75" s="18">
        <f t="shared" si="3"/>
        <v>460.4451979</v>
      </c>
      <c r="M75" s="20">
        <v>7.52</v>
      </c>
      <c r="N75" s="21" t="e">
        <v>#VALUE!</v>
      </c>
      <c r="O75" s="22">
        <v>4.55</v>
      </c>
      <c r="P75" s="23" t="str">
        <f t="shared" si="4"/>
        <v>#VALUE!</v>
      </c>
      <c r="Q75" s="24">
        <f t="array" ref="Q75">XLOOKUP(B75,'Calculations As per GA Data'!B93:B214,'Calculations As per GA Data'!J93:J214)</f>
        <v>130.6507103</v>
      </c>
      <c r="R75" s="19">
        <f t="array" ref="R75">XLOOKUP(B75,'Calculations As per GA Data'!B93:B214,'Calculations As per GA Data'!F93:F214)</f>
        <v>181</v>
      </c>
      <c r="S75" s="23" t="str">
        <f t="shared" si="5"/>
        <v>#VALUE!</v>
      </c>
      <c r="T75" s="25" t="str">
        <f t="shared" si="6"/>
        <v>#VALUE!</v>
      </c>
      <c r="U75" s="17">
        <v>229.0</v>
      </c>
      <c r="V75" s="23" t="str">
        <f t="shared" si="7"/>
        <v>#VALUE!</v>
      </c>
      <c r="W75" s="25" t="str">
        <f t="shared" si="8"/>
        <v>#VALUE!</v>
      </c>
      <c r="X75" s="26"/>
    </row>
    <row r="76">
      <c r="A76" s="11" t="s">
        <v>172</v>
      </c>
      <c r="B76" s="27" t="s">
        <v>173</v>
      </c>
      <c r="C76" s="11" t="s">
        <v>172</v>
      </c>
      <c r="D76" s="13">
        <f t="array" ref="D76">XLOOKUP(B76,'Calculations As per GA Data'!B94:B215,'Calculations As per GA Data'!G94:G215)</f>
        <v>298.99998</v>
      </c>
      <c r="E76" s="30">
        <v>299.0</v>
      </c>
      <c r="F76" s="15">
        <f t="shared" si="9"/>
        <v>253.3898305</v>
      </c>
      <c r="G76" s="16">
        <v>4.75</v>
      </c>
      <c r="H76" s="13">
        <f t="array" ref="H76">XLOOKUP(B76,'Discount calculation'!A:A,'Discount calculation'!D:D)</f>
        <v>7.41</v>
      </c>
      <c r="I76" s="13">
        <f t="shared" si="2"/>
        <v>241.2298305</v>
      </c>
      <c r="J76" s="29">
        <v>34.0</v>
      </c>
      <c r="K76" s="18">
        <f t="shared" si="3"/>
        <v>207.2298305</v>
      </c>
      <c r="L76" s="29">
        <v>4.0</v>
      </c>
      <c r="M76" s="20">
        <v>7.52</v>
      </c>
      <c r="N76" s="21">
        <v>74.04</v>
      </c>
      <c r="O76" s="22">
        <v>4.55</v>
      </c>
      <c r="P76" s="23">
        <f t="shared" si="4"/>
        <v>117.1198305</v>
      </c>
      <c r="Q76" s="24">
        <f t="array" ref="Q76">XLOOKUP(B76,'Calculations As per GA Data'!B94:B215,'Calculations As per GA Data'!J94:J215)</f>
        <v>883.3940265</v>
      </c>
      <c r="R76" s="19">
        <f t="array" ref="R76">XLOOKUP(B76,'Calculations As per GA Data'!B94:B215,'Calculations As per GA Data'!F94:F215)</f>
        <v>1</v>
      </c>
      <c r="S76" s="23">
        <f t="shared" si="5"/>
        <v>-766.274196</v>
      </c>
      <c r="T76" s="25">
        <f t="shared" si="6"/>
        <v>-3.176531669</v>
      </c>
      <c r="U76" s="17">
        <v>229.0</v>
      </c>
      <c r="V76" s="23">
        <f t="shared" si="7"/>
        <v>-995.274196</v>
      </c>
      <c r="W76" s="25">
        <f t="shared" si="8"/>
        <v>-4.125833832</v>
      </c>
      <c r="X76" s="26"/>
    </row>
    <row r="77" hidden="1">
      <c r="A77" s="11" t="s">
        <v>55</v>
      </c>
      <c r="B77" s="27" t="s">
        <v>174</v>
      </c>
      <c r="C77" s="11" t="s">
        <v>29</v>
      </c>
      <c r="D77" s="13">
        <f t="array" ref="D77">XLOOKUP(B77,'Calculations As per GA Data'!B95:B216,'Calculations As per GA Data'!G95:G216)</f>
        <v>0</v>
      </c>
      <c r="E77" s="14" t="s">
        <v>63</v>
      </c>
      <c r="F77" s="15" t="str">
        <f t="shared" si="9"/>
        <v>#VALUE!</v>
      </c>
      <c r="G77" s="16">
        <v>4.75</v>
      </c>
      <c r="H77" s="13" t="str">
        <f t="array" ref="H77">XLOOKUP(B77,'Discount calculation'!A:A,'Discount calculation'!D:D)</f>
        <v>#N/A</v>
      </c>
      <c r="I77" s="13" t="str">
        <f t="shared" si="2"/>
        <v>#VALUE!</v>
      </c>
      <c r="K77" s="18" t="str">
        <f t="shared" si="3"/>
        <v>#VALUE!</v>
      </c>
      <c r="M77" s="20">
        <v>7.52</v>
      </c>
      <c r="N77" s="21" t="e">
        <v>#VALUE!</v>
      </c>
      <c r="O77" s="22">
        <v>4.55</v>
      </c>
      <c r="P77" s="23" t="str">
        <f t="shared" si="4"/>
        <v>#VALUE!</v>
      </c>
      <c r="Q77" s="24" t="str">
        <f t="array" ref="Q77">XLOOKUP(B77,'Calculations As per GA Data'!B95:B216,'Calculations As per GA Data'!J95:J216)</f>
        <v>#DIV/0!</v>
      </c>
      <c r="R77" s="19">
        <f t="array" ref="R77">XLOOKUP(B77,'Calculations As per GA Data'!B95:B216,'Calculations As per GA Data'!F95:F216)</f>
        <v>0</v>
      </c>
      <c r="S77" s="23" t="str">
        <f t="shared" si="5"/>
        <v>#VALUE!</v>
      </c>
      <c r="T77" s="25" t="str">
        <f t="shared" si="6"/>
        <v>#VALUE!</v>
      </c>
      <c r="U77" s="17">
        <v>229.0</v>
      </c>
      <c r="V77" s="23" t="str">
        <f t="shared" si="7"/>
        <v>#VALUE!</v>
      </c>
      <c r="W77" s="25" t="str">
        <f t="shared" si="8"/>
        <v>#VALUE!</v>
      </c>
      <c r="X77" s="26"/>
    </row>
    <row r="78" hidden="1">
      <c r="A78" s="11" t="s">
        <v>63</v>
      </c>
      <c r="B78" s="27" t="s">
        <v>175</v>
      </c>
      <c r="C78" s="11" t="s">
        <v>63</v>
      </c>
      <c r="D78" s="14" t="str">
        <f t="array" ref="D78">XLOOKUP(B78,'Calculations As per GA Data'!B96:B217,'Calculations As per GA Data'!G96:G217)</f>
        <v>#N/A</v>
      </c>
      <c r="E78" s="14" t="s">
        <v>63</v>
      </c>
      <c r="F78" s="32" t="s">
        <v>63</v>
      </c>
      <c r="G78" s="16">
        <v>4.75</v>
      </c>
      <c r="H78" s="13" t="str">
        <f t="array" ref="H78">XLOOKUP(B78,'Discount calculation'!A:A,'Discount calculation'!D:D)</f>
        <v>#N/A</v>
      </c>
      <c r="I78" s="13" t="str">
        <f t="shared" si="2"/>
        <v>#N/A</v>
      </c>
      <c r="K78" s="18" t="str">
        <f t="shared" si="3"/>
        <v>#N/A</v>
      </c>
      <c r="M78" s="20">
        <v>7.52</v>
      </c>
      <c r="N78" s="21" t="e">
        <v>#VALUE!</v>
      </c>
      <c r="O78" s="22">
        <v>4.55</v>
      </c>
      <c r="P78" s="23" t="str">
        <f t="shared" si="4"/>
        <v>#N/A</v>
      </c>
      <c r="Q78" s="24" t="str">
        <f t="array" ref="Q78">XLOOKUP(B78,'Calculations As per GA Data'!B96:B217,'Calculations As per GA Data'!J96:J217)</f>
        <v>#VALUE!</v>
      </c>
      <c r="R78" s="19" t="str">
        <f t="array" ref="R78">XLOOKUP(B78,'Calculations As per GA Data'!B96:B217,'Calculations As per GA Data'!F96:F217)</f>
        <v>NA</v>
      </c>
      <c r="S78" s="23" t="str">
        <f t="shared" si="5"/>
        <v>#N/A</v>
      </c>
      <c r="T78" s="25" t="str">
        <f t="shared" si="6"/>
        <v>#N/A</v>
      </c>
      <c r="U78" s="17">
        <v>229.0</v>
      </c>
      <c r="V78" s="23" t="str">
        <f t="shared" si="7"/>
        <v>#N/A</v>
      </c>
      <c r="W78" s="25" t="str">
        <f t="shared" si="8"/>
        <v>#N/A</v>
      </c>
      <c r="X78" s="26"/>
    </row>
    <row r="79" hidden="1">
      <c r="A79" s="11" t="s">
        <v>63</v>
      </c>
      <c r="B79" s="27" t="s">
        <v>176</v>
      </c>
      <c r="C79" s="11" t="s">
        <v>63</v>
      </c>
      <c r="D79" s="14" t="str">
        <f t="array" ref="D79">XLOOKUP(B79,'Calculations As per GA Data'!B97:B218,'Calculations As per GA Data'!G97:G218)</f>
        <v>#N/A</v>
      </c>
      <c r="E79" s="14" t="s">
        <v>63</v>
      </c>
      <c r="F79" s="32" t="s">
        <v>63</v>
      </c>
      <c r="G79" s="16">
        <v>4.75</v>
      </c>
      <c r="H79" s="13" t="str">
        <f t="array" ref="H79">XLOOKUP(B79,'Discount calculation'!A:A,'Discount calculation'!D:D)</f>
        <v>#N/A</v>
      </c>
      <c r="I79" s="13" t="str">
        <f t="shared" si="2"/>
        <v>#N/A</v>
      </c>
      <c r="K79" s="18" t="str">
        <f t="shared" si="3"/>
        <v>#N/A</v>
      </c>
      <c r="M79" s="20">
        <v>7.52</v>
      </c>
      <c r="N79" s="21" t="e">
        <v>#VALUE!</v>
      </c>
      <c r="O79" s="22">
        <v>4.55</v>
      </c>
      <c r="P79" s="23" t="str">
        <f t="shared" si="4"/>
        <v>#N/A</v>
      </c>
      <c r="Q79" s="24" t="str">
        <f t="array" ref="Q79">XLOOKUP(B79,'Calculations As per GA Data'!B97:B218,'Calculations As per GA Data'!J97:J218)</f>
        <v>#VALUE!</v>
      </c>
      <c r="R79" s="19" t="str">
        <f t="array" ref="R79">XLOOKUP(B79,'Calculations As per GA Data'!B97:B218,'Calculations As per GA Data'!F97:F218)</f>
        <v>NA</v>
      </c>
      <c r="S79" s="23" t="str">
        <f t="shared" si="5"/>
        <v>#N/A</v>
      </c>
      <c r="T79" s="25" t="str">
        <f t="shared" si="6"/>
        <v>#N/A</v>
      </c>
      <c r="U79" s="17">
        <v>229.0</v>
      </c>
      <c r="V79" s="23" t="str">
        <f t="shared" si="7"/>
        <v>#N/A</v>
      </c>
      <c r="W79" s="25" t="str">
        <f t="shared" si="8"/>
        <v>#N/A</v>
      </c>
      <c r="X79" s="26"/>
    </row>
    <row r="80" hidden="1">
      <c r="A80" s="11" t="s">
        <v>63</v>
      </c>
      <c r="B80" s="27" t="s">
        <v>177</v>
      </c>
      <c r="C80" s="11" t="s">
        <v>63</v>
      </c>
      <c r="D80" s="14" t="str">
        <f t="array" ref="D80">XLOOKUP(B80,'Calculations As per GA Data'!B98:B219,'Calculations As per GA Data'!G98:G219)</f>
        <v>#N/A</v>
      </c>
      <c r="E80" s="14" t="s">
        <v>63</v>
      </c>
      <c r="F80" s="32" t="s">
        <v>63</v>
      </c>
      <c r="G80" s="16">
        <v>4.75</v>
      </c>
      <c r="H80" s="13" t="str">
        <f t="array" ref="H80">XLOOKUP(B80,'Discount calculation'!A:A,'Discount calculation'!D:D)</f>
        <v>#N/A</v>
      </c>
      <c r="I80" s="13" t="str">
        <f t="shared" si="2"/>
        <v>#N/A</v>
      </c>
      <c r="K80" s="18" t="str">
        <f t="shared" si="3"/>
        <v>#N/A</v>
      </c>
      <c r="M80" s="20">
        <v>7.52</v>
      </c>
      <c r="N80" s="21" t="e">
        <v>#VALUE!</v>
      </c>
      <c r="O80" s="22">
        <v>4.55</v>
      </c>
      <c r="P80" s="23" t="str">
        <f t="shared" si="4"/>
        <v>#N/A</v>
      </c>
      <c r="Q80" s="24" t="str">
        <f t="array" ref="Q80">XLOOKUP(B80,'Calculations As per GA Data'!B98:B219,'Calculations As per GA Data'!J98:J219)</f>
        <v>#VALUE!</v>
      </c>
      <c r="R80" s="19" t="str">
        <f t="array" ref="R80">XLOOKUP(B80,'Calculations As per GA Data'!B98:B219,'Calculations As per GA Data'!F98:F219)</f>
        <v>NA</v>
      </c>
      <c r="S80" s="23" t="str">
        <f t="shared" si="5"/>
        <v>#N/A</v>
      </c>
      <c r="T80" s="25" t="str">
        <f t="shared" si="6"/>
        <v>#N/A</v>
      </c>
      <c r="U80" s="17">
        <v>229.0</v>
      </c>
      <c r="V80" s="23" t="str">
        <f t="shared" si="7"/>
        <v>#N/A</v>
      </c>
      <c r="W80" s="25" t="str">
        <f t="shared" si="8"/>
        <v>#N/A</v>
      </c>
      <c r="X80" s="26"/>
    </row>
    <row r="81" hidden="1">
      <c r="A81" s="11" t="s">
        <v>57</v>
      </c>
      <c r="B81" s="27" t="s">
        <v>178</v>
      </c>
      <c r="C81" s="11" t="s">
        <v>57</v>
      </c>
      <c r="D81" s="13">
        <f t="array" ref="D81">XLOOKUP(B81,'Calculations As per GA Data'!B99:B220,'Calculations As per GA Data'!G99:G220)</f>
        <v>0</v>
      </c>
      <c r="E81" s="14" t="s">
        <v>63</v>
      </c>
      <c r="F81" s="15" t="str">
        <f t="shared" ref="F81:F102" si="10">E81/1.18</f>
        <v>#VALUE!</v>
      </c>
      <c r="G81" s="16">
        <v>4.75</v>
      </c>
      <c r="H81" s="13" t="str">
        <f t="array" ref="H81">XLOOKUP(B81,'Discount calculation'!A:A,'Discount calculation'!D:D)</f>
        <v>#N/A</v>
      </c>
      <c r="I81" s="13" t="str">
        <f t="shared" si="2"/>
        <v>#VALUE!</v>
      </c>
      <c r="K81" s="18" t="str">
        <f t="shared" si="3"/>
        <v>#VALUE!</v>
      </c>
      <c r="M81" s="20">
        <v>7.52</v>
      </c>
      <c r="N81" s="21" t="e">
        <v>#VALUE!</v>
      </c>
      <c r="O81" s="22">
        <v>4.55</v>
      </c>
      <c r="P81" s="23" t="str">
        <f t="shared" si="4"/>
        <v>#VALUE!</v>
      </c>
      <c r="Q81" s="24" t="str">
        <f t="array" ref="Q81">XLOOKUP(B81,'Calculations As per GA Data'!B99:B220,'Calculations As per GA Data'!J99:J220)</f>
        <v>#DIV/0!</v>
      </c>
      <c r="R81" s="19">
        <f t="array" ref="R81">XLOOKUP(B81,'Calculations As per GA Data'!B99:B220,'Calculations As per GA Data'!F99:F220)</f>
        <v>0</v>
      </c>
      <c r="S81" s="23" t="str">
        <f t="shared" si="5"/>
        <v>#VALUE!</v>
      </c>
      <c r="T81" s="25" t="str">
        <f t="shared" si="6"/>
        <v>#VALUE!</v>
      </c>
      <c r="U81" s="17">
        <v>229.0</v>
      </c>
      <c r="V81" s="23" t="str">
        <f t="shared" si="7"/>
        <v>#VALUE!</v>
      </c>
      <c r="W81" s="25" t="str">
        <f t="shared" si="8"/>
        <v>#VALUE!</v>
      </c>
      <c r="X81" s="26"/>
    </row>
    <row r="82" hidden="1">
      <c r="A82" s="11" t="s">
        <v>179</v>
      </c>
      <c r="B82" s="27" t="s">
        <v>180</v>
      </c>
      <c r="C82" s="11" t="s">
        <v>179</v>
      </c>
      <c r="D82" s="14" t="str">
        <f t="array" ref="D82">XLOOKUP(B82,'Calculations As per GA Data'!B100:B221,'Calculations As per GA Data'!G100:G221)</f>
        <v>#N/A</v>
      </c>
      <c r="E82" s="14" t="s">
        <v>63</v>
      </c>
      <c r="F82" s="15" t="str">
        <f t="shared" si="10"/>
        <v>#VALUE!</v>
      </c>
      <c r="G82" s="16">
        <v>4.75</v>
      </c>
      <c r="H82" s="13" t="str">
        <f t="array" ref="H82">XLOOKUP(B82,'Discount calculation'!A:A,'Discount calculation'!D:D)</f>
        <v>#N/A</v>
      </c>
      <c r="I82" s="13" t="str">
        <f t="shared" si="2"/>
        <v>#VALUE!</v>
      </c>
      <c r="K82" s="18" t="str">
        <f t="shared" si="3"/>
        <v>#VALUE!</v>
      </c>
      <c r="M82" s="20">
        <v>7.52</v>
      </c>
      <c r="N82" s="21" t="e">
        <v>#VALUE!</v>
      </c>
      <c r="O82" s="22">
        <v>4.55</v>
      </c>
      <c r="P82" s="23" t="str">
        <f t="shared" si="4"/>
        <v>#VALUE!</v>
      </c>
      <c r="Q82" s="24" t="str">
        <f t="array" ref="Q82">XLOOKUP(B82,'Calculations As per GA Data'!B100:B221,'Calculations As per GA Data'!J100:J221)</f>
        <v>#VALUE!</v>
      </c>
      <c r="R82" s="19" t="str">
        <f t="array" ref="R82">XLOOKUP(B82,'Calculations As per GA Data'!B100:B221,'Calculations As per GA Data'!F100:F221)</f>
        <v>NA</v>
      </c>
      <c r="S82" s="23" t="str">
        <f t="shared" si="5"/>
        <v>#VALUE!</v>
      </c>
      <c r="T82" s="25" t="str">
        <f t="shared" si="6"/>
        <v>#VALUE!</v>
      </c>
      <c r="U82" s="17">
        <v>229.0</v>
      </c>
      <c r="V82" s="23" t="str">
        <f t="shared" si="7"/>
        <v>#VALUE!</v>
      </c>
      <c r="W82" s="25" t="str">
        <f t="shared" si="8"/>
        <v>#VALUE!</v>
      </c>
      <c r="X82" s="26"/>
    </row>
    <row r="83" hidden="1">
      <c r="A83" s="11" t="s">
        <v>181</v>
      </c>
      <c r="B83" s="27" t="s">
        <v>182</v>
      </c>
      <c r="C83" s="11" t="s">
        <v>29</v>
      </c>
      <c r="D83" s="14" t="str">
        <f t="array" ref="D83">XLOOKUP(B83,'Calculations As per GA Data'!B101:B222,'Calculations As per GA Data'!G101:G222)</f>
        <v>#N/A</v>
      </c>
      <c r="E83" s="14" t="s">
        <v>63</v>
      </c>
      <c r="F83" s="15" t="str">
        <f t="shared" si="10"/>
        <v>#VALUE!</v>
      </c>
      <c r="G83" s="16">
        <v>4.75</v>
      </c>
      <c r="H83" s="13" t="str">
        <f t="array" ref="H83">XLOOKUP(B83,'Discount calculation'!A:A,'Discount calculation'!D:D)</f>
        <v>#N/A</v>
      </c>
      <c r="I83" s="13" t="str">
        <f t="shared" si="2"/>
        <v>#VALUE!</v>
      </c>
      <c r="K83" s="18" t="str">
        <f t="shared" si="3"/>
        <v>#VALUE!</v>
      </c>
      <c r="M83" s="20">
        <v>7.52</v>
      </c>
      <c r="N83" s="21" t="e">
        <v>#VALUE!</v>
      </c>
      <c r="O83" s="22">
        <v>4.55</v>
      </c>
      <c r="P83" s="23" t="str">
        <f t="shared" si="4"/>
        <v>#VALUE!</v>
      </c>
      <c r="Q83" s="24" t="str">
        <f t="array" ref="Q83">XLOOKUP(B83,'Calculations As per GA Data'!B101:B222,'Calculations As per GA Data'!J101:J222)</f>
        <v>#VALUE!</v>
      </c>
      <c r="R83" s="19" t="str">
        <f t="array" ref="R83">XLOOKUP(B83,'Calculations As per GA Data'!B101:B222,'Calculations As per GA Data'!F101:F222)</f>
        <v>NA</v>
      </c>
      <c r="S83" s="23" t="str">
        <f t="shared" si="5"/>
        <v>#VALUE!</v>
      </c>
      <c r="T83" s="25" t="str">
        <f t="shared" si="6"/>
        <v>#VALUE!</v>
      </c>
      <c r="U83" s="17">
        <v>229.0</v>
      </c>
      <c r="V83" s="23" t="str">
        <f t="shared" si="7"/>
        <v>#VALUE!</v>
      </c>
      <c r="W83" s="25" t="str">
        <f t="shared" si="8"/>
        <v>#VALUE!</v>
      </c>
      <c r="X83" s="26"/>
    </row>
    <row r="84" hidden="1">
      <c r="A84" s="11" t="s">
        <v>183</v>
      </c>
      <c r="B84" s="27" t="s">
        <v>184</v>
      </c>
      <c r="C84" s="11" t="s">
        <v>29</v>
      </c>
      <c r="D84" s="14" t="str">
        <f t="array" ref="D84">XLOOKUP(B84,'Calculations As per GA Data'!B102:B223,'Calculations As per GA Data'!G102:G223)</f>
        <v>#N/A</v>
      </c>
      <c r="E84" s="14" t="s">
        <v>63</v>
      </c>
      <c r="F84" s="15" t="str">
        <f t="shared" si="10"/>
        <v>#VALUE!</v>
      </c>
      <c r="G84" s="16">
        <v>4.75</v>
      </c>
      <c r="H84" s="13" t="str">
        <f t="array" ref="H84">XLOOKUP(B84,'Discount calculation'!A:A,'Discount calculation'!D:D)</f>
        <v>#N/A</v>
      </c>
      <c r="I84" s="13" t="str">
        <f t="shared" si="2"/>
        <v>#VALUE!</v>
      </c>
      <c r="K84" s="18" t="str">
        <f t="shared" si="3"/>
        <v>#VALUE!</v>
      </c>
      <c r="M84" s="20">
        <v>7.52</v>
      </c>
      <c r="N84" s="21" t="e">
        <v>#VALUE!</v>
      </c>
      <c r="O84" s="22">
        <v>4.55</v>
      </c>
      <c r="P84" s="23" t="str">
        <f t="shared" si="4"/>
        <v>#VALUE!</v>
      </c>
      <c r="Q84" s="24" t="str">
        <f t="array" ref="Q84">XLOOKUP(B84,'Calculations As per GA Data'!B102:B223,'Calculations As per GA Data'!J102:J223)</f>
        <v>#VALUE!</v>
      </c>
      <c r="R84" s="19" t="str">
        <f t="array" ref="R84">XLOOKUP(B84,'Calculations As per GA Data'!B102:B223,'Calculations As per GA Data'!F102:F223)</f>
        <v>NA</v>
      </c>
      <c r="S84" s="23" t="str">
        <f t="shared" si="5"/>
        <v>#VALUE!</v>
      </c>
      <c r="T84" s="25" t="str">
        <f t="shared" si="6"/>
        <v>#VALUE!</v>
      </c>
      <c r="U84" s="17">
        <v>229.0</v>
      </c>
      <c r="V84" s="23" t="str">
        <f t="shared" si="7"/>
        <v>#VALUE!</v>
      </c>
      <c r="W84" s="25" t="str">
        <f t="shared" si="8"/>
        <v>#VALUE!</v>
      </c>
      <c r="X84" s="26"/>
    </row>
    <row r="85">
      <c r="A85" s="11" t="s">
        <v>185</v>
      </c>
      <c r="B85" s="27" t="s">
        <v>186</v>
      </c>
      <c r="C85" s="11" t="s">
        <v>29</v>
      </c>
      <c r="D85" s="13">
        <f t="array" ref="D85">XLOOKUP(B85,'Calculations As per GA Data'!B103:B224,'Calculations As per GA Data'!G103:G224)</f>
        <v>3465.99997</v>
      </c>
      <c r="E85" s="30">
        <v>1797.0</v>
      </c>
      <c r="F85" s="15">
        <f t="shared" si="10"/>
        <v>1522.881356</v>
      </c>
      <c r="G85" s="16">
        <v>4.75</v>
      </c>
      <c r="H85" s="13">
        <f t="array" ref="H85">XLOOKUP(B85,'Discount calculation'!A:A,'Discount calculation'!D:D)</f>
        <v>40.045</v>
      </c>
      <c r="I85" s="13">
        <f t="shared" si="2"/>
        <v>1478.086356</v>
      </c>
      <c r="K85" s="18">
        <f t="shared" si="3"/>
        <v>1478.086356</v>
      </c>
      <c r="M85" s="20">
        <v>7.52</v>
      </c>
      <c r="N85" s="21">
        <v>3456.93</v>
      </c>
      <c r="O85" s="22">
        <v>4.55</v>
      </c>
      <c r="P85" s="23">
        <f t="shared" si="4"/>
        <v>-1990.913644</v>
      </c>
      <c r="Q85" s="24">
        <f t="array" ref="Q85">XLOOKUP(B85,'Calculations As per GA Data'!B103:B224,'Calculations As per GA Data'!J103:J224)</f>
        <v>594.5921332</v>
      </c>
      <c r="R85" s="19">
        <f t="array" ref="R85">XLOOKUP(B85,'Calculations As per GA Data'!B103:B224,'Calculations As per GA Data'!F103:F224)</f>
        <v>2</v>
      </c>
      <c r="S85" s="23">
        <f t="shared" si="5"/>
        <v>-2585.505777</v>
      </c>
      <c r="T85" s="25">
        <f t="shared" si="6"/>
        <v>-1.749225116</v>
      </c>
      <c r="U85" s="17">
        <v>229.0</v>
      </c>
      <c r="V85" s="23">
        <f t="shared" si="7"/>
        <v>-2814.505777</v>
      </c>
      <c r="W85" s="25">
        <f t="shared" si="8"/>
        <v>-1.904155171</v>
      </c>
      <c r="X85" s="26"/>
    </row>
    <row r="86">
      <c r="A86" s="11" t="s">
        <v>121</v>
      </c>
      <c r="B86" s="27" t="s">
        <v>187</v>
      </c>
      <c r="C86" s="11" t="s">
        <v>121</v>
      </c>
      <c r="D86" s="13">
        <f t="array" ref="D86">XLOOKUP(B86,'Calculations As per GA Data'!B104:B225,'Calculations As per GA Data'!G104:G225)</f>
        <v>0</v>
      </c>
      <c r="E86" s="30">
        <v>399.0</v>
      </c>
      <c r="F86" s="15">
        <f t="shared" si="10"/>
        <v>338.1355932</v>
      </c>
      <c r="G86" s="16">
        <v>4.75</v>
      </c>
      <c r="H86" s="13" t="str">
        <f t="array" ref="H86">XLOOKUP(B86,'Discount calculation'!A:A,'Discount calculation'!D:D)</f>
        <v>#N/A</v>
      </c>
      <c r="I86" s="13" t="str">
        <f t="shared" si="2"/>
        <v>#N/A</v>
      </c>
      <c r="K86" s="18" t="str">
        <f t="shared" si="3"/>
        <v>#N/A</v>
      </c>
      <c r="M86" s="20">
        <v>7.52</v>
      </c>
      <c r="N86" s="21" t="e">
        <v>#DIV/0!</v>
      </c>
      <c r="O86" s="22">
        <v>4.55</v>
      </c>
      <c r="P86" s="23" t="str">
        <f t="shared" si="4"/>
        <v>#N/A</v>
      </c>
      <c r="Q86" s="24" t="str">
        <f t="array" ref="Q86">XLOOKUP(B86,'Calculations As per GA Data'!B104:B225,'Calculations As per GA Data'!J104:J225)</f>
        <v>#DIV/0!</v>
      </c>
      <c r="R86" s="19">
        <f t="array" ref="R86">XLOOKUP(B86,'Calculations As per GA Data'!B104:B225,'Calculations As per GA Data'!F104:F225)</f>
        <v>0</v>
      </c>
      <c r="S86" s="23" t="str">
        <f t="shared" si="5"/>
        <v>#N/A</v>
      </c>
      <c r="T86" s="25" t="str">
        <f t="shared" si="6"/>
        <v>#N/A</v>
      </c>
      <c r="U86" s="17">
        <v>229.0</v>
      </c>
      <c r="V86" s="23" t="str">
        <f t="shared" si="7"/>
        <v>#N/A</v>
      </c>
      <c r="W86" s="25" t="str">
        <f t="shared" si="8"/>
        <v>#N/A</v>
      </c>
      <c r="X86" s="26"/>
    </row>
    <row r="87">
      <c r="A87" s="11" t="s">
        <v>121</v>
      </c>
      <c r="B87" s="27" t="s">
        <v>188</v>
      </c>
      <c r="C87" s="11" t="s">
        <v>121</v>
      </c>
      <c r="D87" s="14" t="str">
        <f t="array" ref="D87">XLOOKUP(B87,'Calculations As per GA Data'!B105:B226,'Calculations As per GA Data'!G105:G226)</f>
        <v>#N/A</v>
      </c>
      <c r="E87" s="30">
        <v>3990.0</v>
      </c>
      <c r="F87" s="15">
        <f t="shared" si="10"/>
        <v>3381.355932</v>
      </c>
      <c r="G87" s="16">
        <v>4.75</v>
      </c>
      <c r="H87" s="13" t="str">
        <f t="array" ref="H87">XLOOKUP(B87,'Discount calculation'!A:A,'Discount calculation'!D:D)</f>
        <v>#N/A</v>
      </c>
      <c r="I87" s="13" t="str">
        <f t="shared" si="2"/>
        <v>#N/A</v>
      </c>
      <c r="K87" s="18" t="str">
        <f t="shared" si="3"/>
        <v>#N/A</v>
      </c>
      <c r="M87" s="20">
        <v>7.52</v>
      </c>
      <c r="N87" s="21" t="e">
        <v>#VALUE!</v>
      </c>
      <c r="O87" s="22">
        <v>4.55</v>
      </c>
      <c r="P87" s="23" t="str">
        <f t="shared" si="4"/>
        <v>#N/A</v>
      </c>
      <c r="Q87" s="24" t="str">
        <f t="array" ref="Q87">XLOOKUP(B87,'Calculations As per GA Data'!B105:B226,'Calculations As per GA Data'!J105:J226)</f>
        <v>#VALUE!</v>
      </c>
      <c r="R87" s="19" t="str">
        <f t="array" ref="R87">XLOOKUP(B87,'Calculations As per GA Data'!B105:B226,'Calculations As per GA Data'!F105:F226)</f>
        <v>NA</v>
      </c>
      <c r="S87" s="23" t="str">
        <f t="shared" si="5"/>
        <v>#N/A</v>
      </c>
      <c r="T87" s="25" t="str">
        <f t="shared" si="6"/>
        <v>#N/A</v>
      </c>
      <c r="U87" s="17">
        <v>229.0</v>
      </c>
      <c r="V87" s="23" t="str">
        <f t="shared" si="7"/>
        <v>#N/A</v>
      </c>
      <c r="W87" s="25" t="str">
        <f t="shared" si="8"/>
        <v>#N/A</v>
      </c>
      <c r="X87" s="26"/>
    </row>
    <row r="88">
      <c r="A88" s="11" t="s">
        <v>121</v>
      </c>
      <c r="B88" s="27" t="s">
        <v>189</v>
      </c>
      <c r="C88" s="11" t="s">
        <v>121</v>
      </c>
      <c r="D88" s="14" t="str">
        <f t="array" ref="D88">XLOOKUP(B88,'Calculations As per GA Data'!B106:B227,'Calculations As per GA Data'!G106:G227)</f>
        <v>#N/A</v>
      </c>
      <c r="E88" s="30">
        <v>1995.0</v>
      </c>
      <c r="F88" s="15">
        <f t="shared" si="10"/>
        <v>1690.677966</v>
      </c>
      <c r="G88" s="16">
        <v>4.75</v>
      </c>
      <c r="H88" s="13" t="str">
        <f t="array" ref="H88">XLOOKUP(B88,'Discount calculation'!A:A,'Discount calculation'!D:D)</f>
        <v>#N/A</v>
      </c>
      <c r="I88" s="13" t="str">
        <f t="shared" si="2"/>
        <v>#N/A</v>
      </c>
      <c r="K88" s="18" t="str">
        <f t="shared" si="3"/>
        <v>#N/A</v>
      </c>
      <c r="M88" s="20">
        <v>7.52</v>
      </c>
      <c r="N88" s="21" t="e">
        <v>#VALUE!</v>
      </c>
      <c r="O88" s="22">
        <v>4.55</v>
      </c>
      <c r="P88" s="23" t="str">
        <f t="shared" si="4"/>
        <v>#N/A</v>
      </c>
      <c r="Q88" s="24" t="str">
        <f t="array" ref="Q88">XLOOKUP(B88,'Calculations As per GA Data'!B106:B227,'Calculations As per GA Data'!J106:J227)</f>
        <v>#VALUE!</v>
      </c>
      <c r="R88" s="19" t="str">
        <f t="array" ref="R88">XLOOKUP(B88,'Calculations As per GA Data'!B106:B227,'Calculations As per GA Data'!F106:F227)</f>
        <v>NA</v>
      </c>
      <c r="S88" s="23" t="str">
        <f t="shared" si="5"/>
        <v>#N/A</v>
      </c>
      <c r="T88" s="25" t="str">
        <f t="shared" si="6"/>
        <v>#N/A</v>
      </c>
      <c r="U88" s="17">
        <v>229.0</v>
      </c>
      <c r="V88" s="23" t="str">
        <f t="shared" si="7"/>
        <v>#N/A</v>
      </c>
      <c r="W88" s="25" t="str">
        <f t="shared" si="8"/>
        <v>#N/A</v>
      </c>
      <c r="X88" s="26"/>
    </row>
    <row r="89" hidden="1">
      <c r="A89" s="11" t="s">
        <v>121</v>
      </c>
      <c r="B89" s="27" t="s">
        <v>190</v>
      </c>
      <c r="C89" s="11" t="s">
        <v>121</v>
      </c>
      <c r="D89" s="14" t="str">
        <f t="array" ref="D89">XLOOKUP(B89,'Calculations As per GA Data'!B107:B228,'Calculations As per GA Data'!G107:G228)</f>
        <v>#N/A</v>
      </c>
      <c r="E89" s="14" t="s">
        <v>63</v>
      </c>
      <c r="F89" s="15" t="str">
        <f t="shared" si="10"/>
        <v>#VALUE!</v>
      </c>
      <c r="G89" s="16">
        <v>4.75</v>
      </c>
      <c r="H89" s="13" t="str">
        <f t="array" ref="H89">XLOOKUP(B89,'Discount calculation'!A:A,'Discount calculation'!D:D)</f>
        <v>#N/A</v>
      </c>
      <c r="I89" s="13" t="str">
        <f t="shared" si="2"/>
        <v>#VALUE!</v>
      </c>
      <c r="K89" s="18" t="str">
        <f t="shared" si="3"/>
        <v>#VALUE!</v>
      </c>
      <c r="M89" s="20">
        <v>7.52</v>
      </c>
      <c r="N89" s="21" t="e">
        <v>#VALUE!</v>
      </c>
      <c r="O89" s="22">
        <v>4.55</v>
      </c>
      <c r="P89" s="23" t="str">
        <f t="shared" si="4"/>
        <v>#VALUE!</v>
      </c>
      <c r="Q89" s="24" t="str">
        <f t="array" ref="Q89">XLOOKUP(B89,'Calculations As per GA Data'!B107:B228,'Calculations As per GA Data'!J107:J228)</f>
        <v>#VALUE!</v>
      </c>
      <c r="R89" s="19" t="str">
        <f t="array" ref="R89">XLOOKUP(B89,'Calculations As per GA Data'!B107:B228,'Calculations As per GA Data'!F107:F228)</f>
        <v>NA</v>
      </c>
      <c r="S89" s="23" t="str">
        <f t="shared" si="5"/>
        <v>#VALUE!</v>
      </c>
      <c r="T89" s="25" t="str">
        <f t="shared" si="6"/>
        <v>#VALUE!</v>
      </c>
      <c r="U89" s="17">
        <v>229.0</v>
      </c>
      <c r="V89" s="23" t="str">
        <f t="shared" si="7"/>
        <v>#VALUE!</v>
      </c>
      <c r="W89" s="25" t="str">
        <f t="shared" si="8"/>
        <v>#VALUE!</v>
      </c>
      <c r="X89" s="26"/>
    </row>
    <row r="90">
      <c r="A90" s="11" t="s">
        <v>121</v>
      </c>
      <c r="B90" s="27" t="s">
        <v>191</v>
      </c>
      <c r="C90" s="11" t="s">
        <v>121</v>
      </c>
      <c r="D90" s="14" t="str">
        <f t="array" ref="D90">XLOOKUP(B90,'Calculations As per GA Data'!B108:B229,'Calculations As per GA Data'!G108:G229)</f>
        <v>#N/A</v>
      </c>
      <c r="E90" s="31">
        <v>1995.0</v>
      </c>
      <c r="F90" s="15">
        <f t="shared" si="10"/>
        <v>1690.677966</v>
      </c>
      <c r="G90" s="16">
        <v>4.75</v>
      </c>
      <c r="H90" s="13" t="str">
        <f t="array" ref="H90">XLOOKUP(B90,'Discount calculation'!A:A,'Discount calculation'!D:D)</f>
        <v>#N/A</v>
      </c>
      <c r="I90" s="13" t="str">
        <f t="shared" si="2"/>
        <v>#N/A</v>
      </c>
      <c r="K90" s="18" t="str">
        <f t="shared" si="3"/>
        <v>#N/A</v>
      </c>
      <c r="M90" s="20">
        <v>7.52</v>
      </c>
      <c r="N90" s="21" t="e">
        <v>#VALUE!</v>
      </c>
      <c r="O90" s="22">
        <v>4.55</v>
      </c>
      <c r="P90" s="23" t="str">
        <f t="shared" si="4"/>
        <v>#N/A</v>
      </c>
      <c r="Q90" s="24" t="str">
        <f t="array" ref="Q90">XLOOKUP(B90,'Calculations As per GA Data'!B108:B229,'Calculations As per GA Data'!J108:J229)</f>
        <v>#VALUE!</v>
      </c>
      <c r="R90" s="19" t="str">
        <f t="array" ref="R90">XLOOKUP(B90,'Calculations As per GA Data'!B108:B229,'Calculations As per GA Data'!F108:F229)</f>
        <v>NA</v>
      </c>
      <c r="S90" s="23" t="str">
        <f t="shared" si="5"/>
        <v>#N/A</v>
      </c>
      <c r="T90" s="25" t="str">
        <f t="shared" si="6"/>
        <v>#N/A</v>
      </c>
      <c r="U90" s="17">
        <v>229.0</v>
      </c>
      <c r="V90" s="23" t="str">
        <f t="shared" si="7"/>
        <v>#N/A</v>
      </c>
      <c r="W90" s="25" t="str">
        <f t="shared" si="8"/>
        <v>#N/A</v>
      </c>
      <c r="X90" s="26"/>
    </row>
    <row r="91">
      <c r="A91" s="11" t="s">
        <v>163</v>
      </c>
      <c r="B91" s="27" t="s">
        <v>192</v>
      </c>
      <c r="C91" s="11" t="s">
        <v>163</v>
      </c>
      <c r="D91" s="14" t="str">
        <f t="array" ref="D91">XLOOKUP(B91,'Calculations As per GA Data'!B109:B230,'Calculations As per GA Data'!G109:G230)</f>
        <v>#N/A</v>
      </c>
      <c r="E91" s="30">
        <v>549.0</v>
      </c>
      <c r="F91" s="15">
        <f t="shared" si="10"/>
        <v>465.2542373</v>
      </c>
      <c r="G91" s="16">
        <v>4.75</v>
      </c>
      <c r="H91" s="13" t="str">
        <f t="array" ref="H91">XLOOKUP(B91,'Discount calculation'!A:A,'Discount calculation'!D:D)</f>
        <v>#N/A</v>
      </c>
      <c r="I91" s="13" t="str">
        <f t="shared" si="2"/>
        <v>#N/A</v>
      </c>
      <c r="K91" s="18" t="str">
        <f t="shared" si="3"/>
        <v>#N/A</v>
      </c>
      <c r="M91" s="20">
        <v>7.52</v>
      </c>
      <c r="N91" s="21" t="e">
        <v>#VALUE!</v>
      </c>
      <c r="O91" s="22">
        <v>4.55</v>
      </c>
      <c r="P91" s="23" t="str">
        <f t="shared" si="4"/>
        <v>#N/A</v>
      </c>
      <c r="Q91" s="24" t="str">
        <f t="array" ref="Q91">XLOOKUP(B91,'Calculations As per GA Data'!B109:B230,'Calculations As per GA Data'!J109:J230)</f>
        <v>#VALUE!</v>
      </c>
      <c r="R91" s="19" t="str">
        <f t="array" ref="R91">XLOOKUP(B91,'Calculations As per GA Data'!B109:B230,'Calculations As per GA Data'!F109:F230)</f>
        <v>NA</v>
      </c>
      <c r="S91" s="23" t="str">
        <f t="shared" si="5"/>
        <v>#N/A</v>
      </c>
      <c r="T91" s="25" t="str">
        <f t="shared" si="6"/>
        <v>#N/A</v>
      </c>
      <c r="U91" s="17">
        <v>229.0</v>
      </c>
      <c r="V91" s="23" t="str">
        <f t="shared" si="7"/>
        <v>#N/A</v>
      </c>
      <c r="W91" s="25" t="str">
        <f t="shared" si="8"/>
        <v>#N/A</v>
      </c>
      <c r="X91" s="26"/>
    </row>
    <row r="92">
      <c r="A92" s="11" t="s">
        <v>170</v>
      </c>
      <c r="B92" s="27" t="s">
        <v>193</v>
      </c>
      <c r="C92" s="11" t="s">
        <v>170</v>
      </c>
      <c r="D92" s="13">
        <f t="array" ref="D92">XLOOKUP(B92,'Calculations As per GA Data'!B110:B231,'Calculations As per GA Data'!G110:G231)</f>
        <v>0</v>
      </c>
      <c r="E92" s="30">
        <v>549.0</v>
      </c>
      <c r="F92" s="15">
        <f t="shared" si="10"/>
        <v>465.2542373</v>
      </c>
      <c r="G92" s="16">
        <v>4.75</v>
      </c>
      <c r="H92" s="13" t="str">
        <f t="array" ref="H92">XLOOKUP(B92,'Discount calculation'!A:A,'Discount calculation'!D:D)</f>
        <v>#N/A</v>
      </c>
      <c r="I92" s="13" t="str">
        <f t="shared" si="2"/>
        <v>#N/A</v>
      </c>
      <c r="K92" s="18" t="str">
        <f t="shared" si="3"/>
        <v>#N/A</v>
      </c>
      <c r="M92" s="20">
        <v>7.52</v>
      </c>
      <c r="N92" s="21" t="e">
        <v>#DIV/0!</v>
      </c>
      <c r="O92" s="22">
        <v>4.55</v>
      </c>
      <c r="P92" s="23" t="str">
        <f t="shared" si="4"/>
        <v>#N/A</v>
      </c>
      <c r="Q92" s="24" t="str">
        <f t="array" ref="Q92">XLOOKUP(B92,'Calculations As per GA Data'!B110:B231,'Calculations As per GA Data'!J110:J231)</f>
        <v>#DIV/0!</v>
      </c>
      <c r="R92" s="19">
        <f t="array" ref="R92">XLOOKUP(B92,'Calculations As per GA Data'!B110:B231,'Calculations As per GA Data'!F110:F231)</f>
        <v>0</v>
      </c>
      <c r="S92" s="23" t="str">
        <f t="shared" si="5"/>
        <v>#N/A</v>
      </c>
      <c r="T92" s="25" t="str">
        <f t="shared" si="6"/>
        <v>#N/A</v>
      </c>
      <c r="U92" s="17">
        <v>229.0</v>
      </c>
      <c r="V92" s="23" t="str">
        <f t="shared" si="7"/>
        <v>#N/A</v>
      </c>
      <c r="W92" s="25" t="str">
        <f t="shared" si="8"/>
        <v>#N/A</v>
      </c>
      <c r="X92" s="26"/>
    </row>
    <row r="93">
      <c r="A93" s="11" t="s">
        <v>163</v>
      </c>
      <c r="B93" s="27" t="s">
        <v>194</v>
      </c>
      <c r="C93" s="11" t="s">
        <v>163</v>
      </c>
      <c r="D93" s="14" t="str">
        <f t="array" ref="D93">XLOOKUP(B93,'Calculations As per GA Data'!B111:B232,'Calculations As per GA Data'!G111:G232)</f>
        <v>#N/A</v>
      </c>
      <c r="E93" s="30">
        <v>549.0</v>
      </c>
      <c r="F93" s="15">
        <f t="shared" si="10"/>
        <v>465.2542373</v>
      </c>
      <c r="G93" s="16">
        <v>4.75</v>
      </c>
      <c r="H93" s="13" t="str">
        <f t="array" ref="H93">XLOOKUP(B93,'Discount calculation'!A:A,'Discount calculation'!D:D)</f>
        <v>#N/A</v>
      </c>
      <c r="I93" s="13" t="str">
        <f t="shared" si="2"/>
        <v>#N/A</v>
      </c>
      <c r="K93" s="18" t="str">
        <f t="shared" si="3"/>
        <v>#N/A</v>
      </c>
      <c r="M93" s="20">
        <v>7.52</v>
      </c>
      <c r="N93" s="21" t="e">
        <v>#VALUE!</v>
      </c>
      <c r="O93" s="22">
        <v>4.55</v>
      </c>
      <c r="P93" s="23" t="str">
        <f t="shared" si="4"/>
        <v>#N/A</v>
      </c>
      <c r="Q93" s="24" t="str">
        <f t="array" ref="Q93">XLOOKUP(B93,'Calculations As per GA Data'!B111:B232,'Calculations As per GA Data'!J111:J232)</f>
        <v>#VALUE!</v>
      </c>
      <c r="R93" s="19" t="str">
        <f t="array" ref="R93">XLOOKUP(B93,'Calculations As per GA Data'!B111:B232,'Calculations As per GA Data'!F111:F232)</f>
        <v>NA</v>
      </c>
      <c r="S93" s="23" t="str">
        <f t="shared" si="5"/>
        <v>#N/A</v>
      </c>
      <c r="T93" s="25" t="str">
        <f t="shared" si="6"/>
        <v>#N/A</v>
      </c>
      <c r="U93" s="17">
        <v>229.0</v>
      </c>
      <c r="V93" s="23" t="str">
        <f t="shared" si="7"/>
        <v>#N/A</v>
      </c>
      <c r="W93" s="25" t="str">
        <f t="shared" si="8"/>
        <v>#N/A</v>
      </c>
      <c r="X93" s="26"/>
    </row>
    <row r="94" hidden="1">
      <c r="A94" s="11" t="s">
        <v>195</v>
      </c>
      <c r="B94" s="27" t="s">
        <v>196</v>
      </c>
      <c r="C94" s="29" t="s">
        <v>195</v>
      </c>
      <c r="D94" s="13">
        <f t="array" ref="D94">XLOOKUP(B94,'Calculations As per GA Data'!B112:B233,'Calculations As per GA Data'!G112:G233)</f>
        <v>0</v>
      </c>
      <c r="E94" s="14" t="s">
        <v>63</v>
      </c>
      <c r="F94" s="15" t="str">
        <f t="shared" si="10"/>
        <v>#VALUE!</v>
      </c>
      <c r="G94" s="16">
        <v>4.75</v>
      </c>
      <c r="H94" s="13" t="str">
        <f t="array" ref="H94">XLOOKUP(B94,'Discount calculation'!A:A,'Discount calculation'!D:D)</f>
        <v>#N/A</v>
      </c>
      <c r="I94" s="13" t="str">
        <f t="shared" si="2"/>
        <v>#VALUE!</v>
      </c>
      <c r="K94" s="18" t="str">
        <f t="shared" si="3"/>
        <v>#VALUE!</v>
      </c>
      <c r="M94" s="20">
        <v>7.52</v>
      </c>
      <c r="N94" s="21" t="e">
        <v>#VALUE!</v>
      </c>
      <c r="O94" s="22">
        <v>4.55</v>
      </c>
      <c r="P94" s="23" t="str">
        <f t="shared" si="4"/>
        <v>#VALUE!</v>
      </c>
      <c r="Q94" s="24" t="str">
        <f t="array" ref="Q94">XLOOKUP(B94,'Calculations As per GA Data'!B112:B233,'Calculations As per GA Data'!J112:J233)</f>
        <v>#DIV/0!</v>
      </c>
      <c r="R94" s="19">
        <f t="array" ref="R94">XLOOKUP(B94,'Calculations As per GA Data'!B112:B233,'Calculations As per GA Data'!F112:F233)</f>
        <v>0</v>
      </c>
      <c r="S94" s="23" t="str">
        <f t="shared" si="5"/>
        <v>#VALUE!</v>
      </c>
      <c r="T94" s="25" t="str">
        <f t="shared" si="6"/>
        <v>#VALUE!</v>
      </c>
      <c r="U94" s="17">
        <v>229.0</v>
      </c>
      <c r="V94" s="23" t="str">
        <f t="shared" si="7"/>
        <v>#VALUE!</v>
      </c>
      <c r="W94" s="25" t="str">
        <f t="shared" si="8"/>
        <v>#VALUE!</v>
      </c>
      <c r="X94" s="26"/>
    </row>
    <row r="95" hidden="1">
      <c r="A95" s="29" t="s">
        <v>195</v>
      </c>
      <c r="B95" s="27" t="s">
        <v>197</v>
      </c>
      <c r="C95" s="29" t="s">
        <v>195</v>
      </c>
      <c r="D95" s="14" t="str">
        <f t="array" ref="D95">XLOOKUP(B95,'Calculations As per GA Data'!B113:B234,'Calculations As per GA Data'!G113:G234)</f>
        <v>#N/A</v>
      </c>
      <c r="E95" s="14" t="s">
        <v>63</v>
      </c>
      <c r="F95" s="15" t="str">
        <f t="shared" si="10"/>
        <v>#VALUE!</v>
      </c>
      <c r="G95" s="16">
        <v>4.75</v>
      </c>
      <c r="H95" s="13" t="str">
        <f t="array" ref="H95">XLOOKUP(B95,'Discount calculation'!A:A,'Discount calculation'!D:D)</f>
        <v>#N/A</v>
      </c>
      <c r="I95" s="13" t="str">
        <f t="shared" si="2"/>
        <v>#VALUE!</v>
      </c>
      <c r="K95" s="18" t="str">
        <f t="shared" si="3"/>
        <v>#VALUE!</v>
      </c>
      <c r="M95" s="20">
        <v>7.52</v>
      </c>
      <c r="N95" s="21" t="e">
        <v>#VALUE!</v>
      </c>
      <c r="O95" s="22">
        <v>4.55</v>
      </c>
      <c r="P95" s="23" t="str">
        <f t="shared" si="4"/>
        <v>#VALUE!</v>
      </c>
      <c r="Q95" s="24" t="str">
        <f t="array" ref="Q95">XLOOKUP(B95,'Calculations As per GA Data'!B113:B234,'Calculations As per GA Data'!J113:J234)</f>
        <v>#VALUE!</v>
      </c>
      <c r="R95" s="19" t="str">
        <f t="array" ref="R95">XLOOKUP(B95,'Calculations As per GA Data'!B113:B234,'Calculations As per GA Data'!F113:F234)</f>
        <v>NA</v>
      </c>
      <c r="S95" s="23" t="str">
        <f t="shared" si="5"/>
        <v>#VALUE!</v>
      </c>
      <c r="T95" s="25" t="str">
        <f t="shared" si="6"/>
        <v>#VALUE!</v>
      </c>
      <c r="U95" s="17">
        <v>229.0</v>
      </c>
      <c r="V95" s="23" t="str">
        <f t="shared" si="7"/>
        <v>#VALUE!</v>
      </c>
      <c r="W95" s="25" t="str">
        <f t="shared" si="8"/>
        <v>#VALUE!</v>
      </c>
      <c r="X95" s="26"/>
    </row>
    <row r="96" hidden="1">
      <c r="A96" s="29" t="s">
        <v>195</v>
      </c>
      <c r="B96" s="27" t="s">
        <v>198</v>
      </c>
      <c r="C96" s="29" t="s">
        <v>195</v>
      </c>
      <c r="D96" s="14" t="str">
        <f t="array" ref="D96">XLOOKUP(B96,'Calculations As per GA Data'!B114:B235,'Calculations As per GA Data'!G114:G235)</f>
        <v>#N/A</v>
      </c>
      <c r="E96" s="14" t="s">
        <v>63</v>
      </c>
      <c r="F96" s="15" t="str">
        <f t="shared" si="10"/>
        <v>#VALUE!</v>
      </c>
      <c r="G96" s="16">
        <v>4.75</v>
      </c>
      <c r="H96" s="13" t="str">
        <f t="array" ref="H96">XLOOKUP(B96,'Discount calculation'!A:A,'Discount calculation'!D:D)</f>
        <v>#N/A</v>
      </c>
      <c r="I96" s="13" t="str">
        <f t="shared" si="2"/>
        <v>#VALUE!</v>
      </c>
      <c r="K96" s="18" t="str">
        <f t="shared" si="3"/>
        <v>#VALUE!</v>
      </c>
      <c r="M96" s="20">
        <v>7.52</v>
      </c>
      <c r="N96" s="21" t="e">
        <v>#VALUE!</v>
      </c>
      <c r="O96" s="22">
        <v>4.55</v>
      </c>
      <c r="P96" s="23" t="str">
        <f t="shared" si="4"/>
        <v>#VALUE!</v>
      </c>
      <c r="Q96" s="24" t="str">
        <f t="array" ref="Q96">XLOOKUP(B96,'Calculations As per GA Data'!B114:B235,'Calculations As per GA Data'!J114:J235)</f>
        <v>#VALUE!</v>
      </c>
      <c r="R96" s="19" t="str">
        <f t="array" ref="R96">XLOOKUP(B96,'Calculations As per GA Data'!B114:B235,'Calculations As per GA Data'!F114:F235)</f>
        <v>NA</v>
      </c>
      <c r="S96" s="23" t="str">
        <f t="shared" si="5"/>
        <v>#VALUE!</v>
      </c>
      <c r="T96" s="25" t="str">
        <f t="shared" si="6"/>
        <v>#VALUE!</v>
      </c>
      <c r="U96" s="17">
        <v>229.0</v>
      </c>
      <c r="V96" s="23" t="str">
        <f t="shared" si="7"/>
        <v>#VALUE!</v>
      </c>
      <c r="W96" s="25" t="str">
        <f t="shared" si="8"/>
        <v>#VALUE!</v>
      </c>
      <c r="X96" s="26"/>
    </row>
    <row r="97">
      <c r="A97" s="11" t="s">
        <v>199</v>
      </c>
      <c r="B97" s="27" t="s">
        <v>200</v>
      </c>
      <c r="C97" s="11" t="s">
        <v>29</v>
      </c>
      <c r="D97" s="13">
        <f t="array" ref="D97">XLOOKUP(B97,'Calculations As per GA Data'!B115:B236,'Calculations As per GA Data'!G115:G236)</f>
        <v>5379.999948</v>
      </c>
      <c r="E97" s="30">
        <v>1098.0</v>
      </c>
      <c r="F97" s="15">
        <f t="shared" si="10"/>
        <v>930.5084746</v>
      </c>
      <c r="G97" s="16">
        <v>4.75</v>
      </c>
      <c r="H97" s="13">
        <f t="array" ref="H97">XLOOKUP(B97,'Discount calculation'!A:A,'Discount calculation'!D:D)</f>
        <v>23.29333333</v>
      </c>
      <c r="I97" s="13">
        <f t="shared" si="2"/>
        <v>902.4651412</v>
      </c>
      <c r="K97" s="18">
        <f t="shared" si="3"/>
        <v>902.4651412</v>
      </c>
      <c r="M97" s="20">
        <v>7.52</v>
      </c>
      <c r="N97" s="21">
        <v>104.266</v>
      </c>
      <c r="O97" s="22">
        <v>4.55</v>
      </c>
      <c r="P97" s="23">
        <f t="shared" si="4"/>
        <v>786.1291412</v>
      </c>
      <c r="Q97" s="24">
        <f t="array" ref="Q97">XLOOKUP(B97,'Calculations As per GA Data'!B115:B236,'Calculations As per GA Data'!J115:J236)</f>
        <v>597.9898026</v>
      </c>
      <c r="R97" s="19">
        <f t="array" ref="R97">XLOOKUP(B97,'Calculations As per GA Data'!B115:B236,'Calculations As per GA Data'!F115:F236)</f>
        <v>5</v>
      </c>
      <c r="S97" s="23">
        <f t="shared" si="5"/>
        <v>188.1393387</v>
      </c>
      <c r="T97" s="25">
        <f t="shared" si="6"/>
        <v>0.2084726934</v>
      </c>
      <c r="U97" s="17">
        <v>229.0</v>
      </c>
      <c r="V97" s="23">
        <f t="shared" si="7"/>
        <v>-40.86066132</v>
      </c>
      <c r="W97" s="25">
        <f t="shared" si="8"/>
        <v>-0.04527671979</v>
      </c>
      <c r="X97" s="26"/>
    </row>
    <row r="98">
      <c r="A98" s="11" t="s">
        <v>201</v>
      </c>
      <c r="B98" s="27" t="s">
        <v>202</v>
      </c>
      <c r="C98" s="11" t="s">
        <v>201</v>
      </c>
      <c r="D98" s="14" t="str">
        <f t="array" ref="D98">XLOOKUP(B98,'Calculations As per GA Data'!B116:B237,'Calculations As per GA Data'!G116:G237)</f>
        <v>#N/A</v>
      </c>
      <c r="E98" s="31">
        <v>200.0</v>
      </c>
      <c r="F98" s="15">
        <f t="shared" si="10"/>
        <v>169.4915254</v>
      </c>
      <c r="G98" s="16">
        <v>4.75</v>
      </c>
      <c r="H98" s="13" t="str">
        <f t="array" ref="H98">XLOOKUP(B98,'Discount calculation'!A:A,'Discount calculation'!D:D)</f>
        <v>#N/A</v>
      </c>
      <c r="I98" s="13" t="str">
        <f t="shared" si="2"/>
        <v>#N/A</v>
      </c>
      <c r="K98" s="18" t="str">
        <f t="shared" si="3"/>
        <v>#N/A</v>
      </c>
      <c r="M98" s="20">
        <v>7.52</v>
      </c>
      <c r="N98" s="21" t="e">
        <v>#VALUE!</v>
      </c>
      <c r="O98" s="22">
        <v>4.55</v>
      </c>
      <c r="P98" s="23" t="str">
        <f t="shared" si="4"/>
        <v>#N/A</v>
      </c>
      <c r="Q98" s="24" t="str">
        <f t="array" ref="Q98">XLOOKUP(B98,'Calculations As per GA Data'!B116:B237,'Calculations As per GA Data'!J116:J237)</f>
        <v>#VALUE!</v>
      </c>
      <c r="R98" s="19" t="str">
        <f t="array" ref="R98">XLOOKUP(B98,'Calculations As per GA Data'!B116:B237,'Calculations As per GA Data'!F116:F237)</f>
        <v>NA</v>
      </c>
      <c r="S98" s="23" t="str">
        <f t="shared" si="5"/>
        <v>#N/A</v>
      </c>
      <c r="T98" s="25" t="str">
        <f t="shared" si="6"/>
        <v>#N/A</v>
      </c>
      <c r="U98" s="17">
        <v>229.0</v>
      </c>
      <c r="V98" s="23" t="str">
        <f t="shared" si="7"/>
        <v>#N/A</v>
      </c>
      <c r="W98" s="25" t="str">
        <f t="shared" si="8"/>
        <v>#N/A</v>
      </c>
      <c r="X98" s="26"/>
    </row>
    <row r="99">
      <c r="A99" s="11" t="s">
        <v>203</v>
      </c>
      <c r="B99" s="27" t="s">
        <v>204</v>
      </c>
      <c r="C99" s="11" t="s">
        <v>203</v>
      </c>
      <c r="D99" s="14" t="str">
        <f t="array" ref="D99">XLOOKUP(B99,'Calculations As per GA Data'!B117:B238,'Calculations As per GA Data'!G117:G238)</f>
        <v>#N/A</v>
      </c>
      <c r="E99" s="31">
        <v>200.0</v>
      </c>
      <c r="F99" s="15">
        <f t="shared" si="10"/>
        <v>169.4915254</v>
      </c>
      <c r="G99" s="16">
        <v>4.75</v>
      </c>
      <c r="H99" s="13" t="str">
        <f t="array" ref="H99">XLOOKUP(B99,'Discount calculation'!A:A,'Discount calculation'!D:D)</f>
        <v>#N/A</v>
      </c>
      <c r="I99" s="13" t="str">
        <f t="shared" si="2"/>
        <v>#N/A</v>
      </c>
      <c r="K99" s="18" t="str">
        <f t="shared" si="3"/>
        <v>#N/A</v>
      </c>
      <c r="M99" s="20">
        <v>7.52</v>
      </c>
      <c r="N99" s="21" t="e">
        <v>#VALUE!</v>
      </c>
      <c r="O99" s="22">
        <v>4.55</v>
      </c>
      <c r="P99" s="23" t="str">
        <f t="shared" si="4"/>
        <v>#N/A</v>
      </c>
      <c r="Q99" s="24" t="str">
        <f t="array" ref="Q99">XLOOKUP(B99,'Calculations As per GA Data'!B117:B238,'Calculations As per GA Data'!J117:J238)</f>
        <v>#VALUE!</v>
      </c>
      <c r="R99" s="19" t="str">
        <f t="array" ref="R99">XLOOKUP(B99,'Calculations As per GA Data'!B117:B238,'Calculations As per GA Data'!F117:F238)</f>
        <v>NA</v>
      </c>
      <c r="S99" s="23" t="str">
        <f t="shared" si="5"/>
        <v>#N/A</v>
      </c>
      <c r="T99" s="25" t="str">
        <f t="shared" si="6"/>
        <v>#N/A</v>
      </c>
      <c r="U99" s="17">
        <v>229.0</v>
      </c>
      <c r="V99" s="23" t="str">
        <f t="shared" si="7"/>
        <v>#N/A</v>
      </c>
      <c r="W99" s="25" t="str">
        <f t="shared" si="8"/>
        <v>#N/A</v>
      </c>
      <c r="X99" s="26"/>
    </row>
    <row r="100">
      <c r="A100" s="11" t="s">
        <v>127</v>
      </c>
      <c r="B100" s="27" t="s">
        <v>205</v>
      </c>
      <c r="C100" s="11" t="s">
        <v>127</v>
      </c>
      <c r="D100" s="14" t="str">
        <f t="array" ref="D100">XLOOKUP(B100,'Calculations As per GA Data'!B118:B239,'Calculations As per GA Data'!G118:G239)</f>
        <v>#N/A</v>
      </c>
      <c r="E100" s="30">
        <v>399.0</v>
      </c>
      <c r="F100" s="15">
        <f t="shared" si="10"/>
        <v>338.1355932</v>
      </c>
      <c r="G100" s="16">
        <v>4.75</v>
      </c>
      <c r="H100" s="13" t="str">
        <f t="array" ref="H100">XLOOKUP(B100,'Discount calculation'!A:A,'Discount calculation'!D:D)</f>
        <v>#N/A</v>
      </c>
      <c r="I100" s="13" t="str">
        <f t="shared" si="2"/>
        <v>#N/A</v>
      </c>
      <c r="K100" s="18" t="str">
        <f t="shared" si="3"/>
        <v>#N/A</v>
      </c>
      <c r="M100" s="20">
        <v>7.52</v>
      </c>
      <c r="N100" s="21" t="e">
        <v>#VALUE!</v>
      </c>
      <c r="O100" s="22">
        <v>4.55</v>
      </c>
      <c r="P100" s="23" t="str">
        <f t="shared" si="4"/>
        <v>#N/A</v>
      </c>
      <c r="Q100" s="24" t="str">
        <f t="array" ref="Q100">XLOOKUP(B100,'Calculations As per GA Data'!B118:B239,'Calculations As per GA Data'!J118:J239)</f>
        <v>#VALUE!</v>
      </c>
      <c r="R100" s="19" t="str">
        <f t="array" ref="R100">XLOOKUP(B100,'Calculations As per GA Data'!B118:B239,'Calculations As per GA Data'!F118:F239)</f>
        <v>NA</v>
      </c>
      <c r="S100" s="23" t="str">
        <f t="shared" si="5"/>
        <v>#N/A</v>
      </c>
      <c r="T100" s="25" t="str">
        <f t="shared" si="6"/>
        <v>#N/A</v>
      </c>
      <c r="U100" s="17">
        <v>229.0</v>
      </c>
      <c r="V100" s="23" t="str">
        <f t="shared" si="7"/>
        <v>#N/A</v>
      </c>
      <c r="W100" s="25" t="str">
        <f t="shared" si="8"/>
        <v>#N/A</v>
      </c>
      <c r="X100" s="26"/>
    </row>
    <row r="101">
      <c r="A101" s="11" t="s">
        <v>127</v>
      </c>
      <c r="B101" s="27" t="s">
        <v>206</v>
      </c>
      <c r="C101" s="11" t="s">
        <v>127</v>
      </c>
      <c r="D101" s="14" t="str">
        <f t="array" ref="D101">XLOOKUP(B101,'Calculations As per GA Data'!B119:B240,'Calculations As per GA Data'!G119:G240)</f>
        <v>#N/A</v>
      </c>
      <c r="E101" s="30">
        <v>3990.0</v>
      </c>
      <c r="F101" s="15">
        <f t="shared" si="10"/>
        <v>3381.355932</v>
      </c>
      <c r="G101" s="16">
        <v>4.75</v>
      </c>
      <c r="H101" s="13" t="str">
        <f t="array" ref="H101">XLOOKUP(B101,'Discount calculation'!A:A,'Discount calculation'!D:D)</f>
        <v>#N/A</v>
      </c>
      <c r="I101" s="13" t="str">
        <f t="shared" si="2"/>
        <v>#N/A</v>
      </c>
      <c r="K101" s="18" t="str">
        <f t="shared" si="3"/>
        <v>#N/A</v>
      </c>
      <c r="M101" s="20">
        <v>7.52</v>
      </c>
      <c r="N101" s="21" t="e">
        <v>#VALUE!</v>
      </c>
      <c r="O101" s="22">
        <v>4.55</v>
      </c>
      <c r="P101" s="23" t="str">
        <f t="shared" si="4"/>
        <v>#N/A</v>
      </c>
      <c r="Q101" s="24" t="str">
        <f t="array" ref="Q101">XLOOKUP(B101,'Calculations As per GA Data'!B119:B240,'Calculations As per GA Data'!J119:J240)</f>
        <v>#VALUE!</v>
      </c>
      <c r="R101" s="19" t="str">
        <f t="array" ref="R101">XLOOKUP(B101,'Calculations As per GA Data'!B119:B240,'Calculations As per GA Data'!F119:F240)</f>
        <v>NA</v>
      </c>
      <c r="S101" s="23" t="str">
        <f t="shared" si="5"/>
        <v>#N/A</v>
      </c>
      <c r="T101" s="25" t="str">
        <f t="shared" si="6"/>
        <v>#N/A</v>
      </c>
      <c r="U101" s="17">
        <v>229.0</v>
      </c>
      <c r="V101" s="23" t="str">
        <f t="shared" si="7"/>
        <v>#N/A</v>
      </c>
      <c r="W101" s="25" t="str">
        <f t="shared" si="8"/>
        <v>#N/A</v>
      </c>
      <c r="X101" s="26"/>
    </row>
    <row r="102">
      <c r="A102" s="11" t="s">
        <v>127</v>
      </c>
      <c r="B102" s="27" t="s">
        <v>207</v>
      </c>
      <c r="C102" s="11" t="s">
        <v>127</v>
      </c>
      <c r="D102" s="14" t="str">
        <f t="array" ref="D102">XLOOKUP(B102,'Calculations As per GA Data'!B120:B241,'Calculations As per GA Data'!G120:G241)</f>
        <v>#N/A</v>
      </c>
      <c r="E102" s="30">
        <v>1995.0</v>
      </c>
      <c r="F102" s="15">
        <f t="shared" si="10"/>
        <v>1690.677966</v>
      </c>
      <c r="G102" s="16">
        <v>4.75</v>
      </c>
      <c r="H102" s="13" t="str">
        <f t="array" ref="H102">XLOOKUP(B102,'Discount calculation'!A:A,'Discount calculation'!D:D)</f>
        <v>#N/A</v>
      </c>
      <c r="I102" s="13" t="str">
        <f t="shared" si="2"/>
        <v>#N/A</v>
      </c>
      <c r="K102" s="18" t="str">
        <f t="shared" si="3"/>
        <v>#N/A</v>
      </c>
      <c r="M102" s="20">
        <v>7.52</v>
      </c>
      <c r="N102" s="21" t="e">
        <v>#VALUE!</v>
      </c>
      <c r="O102" s="22">
        <v>4.55</v>
      </c>
      <c r="P102" s="23" t="str">
        <f t="shared" si="4"/>
        <v>#N/A</v>
      </c>
      <c r="Q102" s="24" t="str">
        <f t="array" ref="Q102">XLOOKUP(B102,'Calculations As per GA Data'!B120:B241,'Calculations As per GA Data'!J120:J241)</f>
        <v>#VALUE!</v>
      </c>
      <c r="R102" s="19" t="str">
        <f t="array" ref="R102">XLOOKUP(B102,'Calculations As per GA Data'!B120:B241,'Calculations As per GA Data'!F120:F241)</f>
        <v>NA</v>
      </c>
      <c r="S102" s="23" t="str">
        <f t="shared" si="5"/>
        <v>#N/A</v>
      </c>
      <c r="T102" s="25" t="str">
        <f t="shared" si="6"/>
        <v>#N/A</v>
      </c>
      <c r="U102" s="17">
        <v>229.0</v>
      </c>
      <c r="V102" s="23" t="str">
        <f t="shared" si="7"/>
        <v>#N/A</v>
      </c>
      <c r="W102" s="25" t="str">
        <f t="shared" si="8"/>
        <v>#N/A</v>
      </c>
      <c r="X102" s="26"/>
    </row>
    <row r="103" hidden="1">
      <c r="A103" s="29" t="s">
        <v>208</v>
      </c>
      <c r="B103" s="27" t="s">
        <v>209</v>
      </c>
      <c r="C103" s="29" t="s">
        <v>210</v>
      </c>
      <c r="D103" s="13">
        <f t="array" ref="D103">XLOOKUP(B103,'Calculations As per GA Data'!B121:B242,'Calculations As per GA Data'!G121:G242)</f>
        <v>0</v>
      </c>
      <c r="E103" s="14" t="s">
        <v>63</v>
      </c>
      <c r="F103" s="32" t="s">
        <v>63</v>
      </c>
      <c r="G103" s="16">
        <v>4.75</v>
      </c>
      <c r="H103" s="13" t="str">
        <f t="array" ref="H103">XLOOKUP(B103,'Discount calculation'!A:A,'Discount calculation'!D:D)</f>
        <v>#N/A</v>
      </c>
      <c r="I103" s="13" t="str">
        <f t="shared" si="2"/>
        <v>#N/A</v>
      </c>
      <c r="K103" s="18" t="str">
        <f t="shared" si="3"/>
        <v>#N/A</v>
      </c>
      <c r="M103" s="20">
        <v>7.52</v>
      </c>
      <c r="N103" s="21" t="e">
        <v>#VALUE!</v>
      </c>
      <c r="O103" s="22">
        <v>4.55</v>
      </c>
      <c r="P103" s="23" t="str">
        <f t="shared" si="4"/>
        <v>#N/A</v>
      </c>
      <c r="Q103" s="24">
        <f t="array" ref="Q103">XLOOKUP(B103,'Calculations As per GA Data'!B121:B242,'Calculations As per GA Data'!J121:J242)</f>
        <v>69.34753291</v>
      </c>
      <c r="R103" s="19">
        <f t="array" ref="R103">XLOOKUP(B103,'Calculations As per GA Data'!B121:B242,'Calculations As per GA Data'!F121:F242)</f>
        <v>1511</v>
      </c>
      <c r="S103" s="23" t="str">
        <f t="shared" si="5"/>
        <v>#N/A</v>
      </c>
      <c r="T103" s="25" t="str">
        <f t="shared" si="6"/>
        <v>#N/A</v>
      </c>
      <c r="U103" s="17">
        <v>229.0</v>
      </c>
      <c r="V103" s="23" t="str">
        <f t="shared" si="7"/>
        <v>#N/A</v>
      </c>
      <c r="W103" s="25" t="str">
        <f t="shared" si="8"/>
        <v>#N/A</v>
      </c>
      <c r="X103" s="26"/>
    </row>
    <row r="104">
      <c r="A104" s="11" t="s">
        <v>211</v>
      </c>
      <c r="B104" s="27" t="s">
        <v>212</v>
      </c>
      <c r="C104" s="11" t="s">
        <v>29</v>
      </c>
      <c r="D104" s="13">
        <f t="array" ref="D104">XLOOKUP(B104,'Calculations As per GA Data'!B122:B243,'Calculations As per GA Data'!G122:G243)</f>
        <v>977.999998</v>
      </c>
      <c r="E104" s="30">
        <v>998.0</v>
      </c>
      <c r="F104" s="15">
        <f>E104/1.18</f>
        <v>845.7627119</v>
      </c>
      <c r="G104" s="16">
        <v>4.75</v>
      </c>
      <c r="H104" s="13">
        <f t="array" ref="H104">XLOOKUP(B104,'Discount calculation'!A:A,'Discount calculation'!D:D)</f>
        <v>20.61</v>
      </c>
      <c r="I104" s="13">
        <f t="shared" si="2"/>
        <v>820.4027119</v>
      </c>
      <c r="K104" s="18">
        <f t="shared" si="3"/>
        <v>820.4027119</v>
      </c>
      <c r="M104" s="20">
        <v>7.52</v>
      </c>
      <c r="N104" s="21">
        <v>62.79</v>
      </c>
      <c r="O104" s="22">
        <v>4.55</v>
      </c>
      <c r="P104" s="23">
        <f t="shared" si="4"/>
        <v>745.5427119</v>
      </c>
      <c r="Q104" s="24">
        <f t="array" ref="Q104">XLOOKUP(B104,'Calculations As per GA Data'!B122:B243,'Calculations As per GA Data'!J122:J243)</f>
        <v>1494.974506</v>
      </c>
      <c r="R104" s="19">
        <f t="array" ref="R104">XLOOKUP(B104,'Calculations As per GA Data'!B122:B243,'Calculations As per GA Data'!F122:F243)</f>
        <v>1</v>
      </c>
      <c r="S104" s="23">
        <f t="shared" si="5"/>
        <v>-749.4317946</v>
      </c>
      <c r="T104" s="25">
        <f t="shared" si="6"/>
        <v>-0.9134925857</v>
      </c>
      <c r="U104" s="17">
        <v>229.0</v>
      </c>
      <c r="V104" s="23">
        <f t="shared" si="7"/>
        <v>-978.4317946</v>
      </c>
      <c r="W104" s="25">
        <f t="shared" si="8"/>
        <v>-1.192623794</v>
      </c>
      <c r="X104" s="26"/>
    </row>
    <row r="105" hidden="1">
      <c r="A105" s="29" t="s">
        <v>213</v>
      </c>
      <c r="B105" s="27" t="s">
        <v>214</v>
      </c>
      <c r="C105" s="29" t="s">
        <v>213</v>
      </c>
      <c r="D105" s="13">
        <f t="array" ref="D105">XLOOKUP(B105,'Calculations As per GA Data'!B123:B244,'Calculations As per GA Data'!G123:G244)</f>
        <v>0</v>
      </c>
      <c r="E105" s="14" t="s">
        <v>63</v>
      </c>
      <c r="F105" s="32" t="s">
        <v>63</v>
      </c>
      <c r="G105" s="16">
        <v>4.75</v>
      </c>
      <c r="H105" s="13" t="str">
        <f t="array" ref="H105">XLOOKUP(B105,'Discount calculation'!A:A,'Discount calculation'!D:D)</f>
        <v>#N/A</v>
      </c>
      <c r="I105" s="13" t="str">
        <f t="shared" si="2"/>
        <v>#N/A</v>
      </c>
      <c r="K105" s="18" t="str">
        <f t="shared" si="3"/>
        <v>#N/A</v>
      </c>
      <c r="M105" s="20">
        <v>7.52</v>
      </c>
      <c r="N105" s="21" t="e">
        <v>#VALUE!</v>
      </c>
      <c r="O105" s="22">
        <v>4.55</v>
      </c>
      <c r="P105" s="23" t="str">
        <f t="shared" si="4"/>
        <v>#N/A</v>
      </c>
      <c r="Q105" s="24">
        <f t="array" ref="Q105">XLOOKUP(B105,'Calculations As per GA Data'!B123:B244,'Calculations As per GA Data'!J123:J244)</f>
        <v>67.0250617</v>
      </c>
      <c r="R105" s="19">
        <f t="array" ref="R105">XLOOKUP(B105,'Calculations As per GA Data'!B123:B244,'Calculations As per GA Data'!F123:F244)</f>
        <v>549</v>
      </c>
      <c r="S105" s="23" t="str">
        <f t="shared" si="5"/>
        <v>#N/A</v>
      </c>
      <c r="T105" s="25" t="str">
        <f t="shared" si="6"/>
        <v>#N/A</v>
      </c>
      <c r="U105" s="17">
        <v>229.0</v>
      </c>
      <c r="V105" s="23" t="str">
        <f t="shared" si="7"/>
        <v>#N/A</v>
      </c>
      <c r="W105" s="25" t="str">
        <f t="shared" si="8"/>
        <v>#N/A</v>
      </c>
      <c r="X105" s="26"/>
    </row>
    <row r="106" hidden="1">
      <c r="A106" s="11" t="s">
        <v>215</v>
      </c>
      <c r="B106" s="27" t="s">
        <v>216</v>
      </c>
      <c r="C106" s="11" t="s">
        <v>215</v>
      </c>
      <c r="D106" s="14" t="str">
        <f t="array" ref="D106">XLOOKUP(B106,'Calculations As per GA Data'!B124:B245,'Calculations As per GA Data'!G124:G245)</f>
        <v>#N/A</v>
      </c>
      <c r="E106" s="14" t="s">
        <v>63</v>
      </c>
      <c r="F106" s="15" t="str">
        <f t="shared" ref="F106:F116" si="11">E106/1.18</f>
        <v>#VALUE!</v>
      </c>
      <c r="G106" s="16">
        <v>4.75</v>
      </c>
      <c r="H106" s="13" t="str">
        <f t="array" ref="H106">XLOOKUP(B106,'Discount calculation'!A:A,'Discount calculation'!D:D)</f>
        <v>#N/A</v>
      </c>
      <c r="I106" s="13" t="str">
        <f t="shared" si="2"/>
        <v>#VALUE!</v>
      </c>
      <c r="K106" s="18" t="str">
        <f t="shared" si="3"/>
        <v>#VALUE!</v>
      </c>
      <c r="M106" s="20">
        <v>7.52</v>
      </c>
      <c r="N106" s="21" t="e">
        <v>#VALUE!</v>
      </c>
      <c r="O106" s="22">
        <v>4.55</v>
      </c>
      <c r="P106" s="23" t="str">
        <f t="shared" si="4"/>
        <v>#VALUE!</v>
      </c>
      <c r="Q106" s="24" t="str">
        <f t="array" ref="Q106">XLOOKUP(B106,'Calculations As per GA Data'!B124:B245,'Calculations As per GA Data'!J124:J245)</f>
        <v>#VALUE!</v>
      </c>
      <c r="R106" s="19" t="str">
        <f t="array" ref="R106">XLOOKUP(B106,'Calculations As per GA Data'!B124:B245,'Calculations As per GA Data'!F124:F245)</f>
        <v>NA</v>
      </c>
      <c r="S106" s="23" t="str">
        <f t="shared" si="5"/>
        <v>#VALUE!</v>
      </c>
      <c r="T106" s="25" t="str">
        <f t="shared" si="6"/>
        <v>#VALUE!</v>
      </c>
      <c r="U106" s="17">
        <v>229.0</v>
      </c>
      <c r="V106" s="23" t="str">
        <f t="shared" si="7"/>
        <v>#VALUE!</v>
      </c>
      <c r="W106" s="25" t="str">
        <f t="shared" si="8"/>
        <v>#VALUE!</v>
      </c>
      <c r="X106" s="26"/>
    </row>
    <row r="107" hidden="1">
      <c r="A107" s="11" t="s">
        <v>217</v>
      </c>
      <c r="B107" s="27" t="s">
        <v>218</v>
      </c>
      <c r="C107" s="11" t="s">
        <v>217</v>
      </c>
      <c r="D107" s="13">
        <f t="array" ref="D107">XLOOKUP(B107,'Calculations As per GA Data'!B125:B246,'Calculations As per GA Data'!G125:G246)</f>
        <v>0</v>
      </c>
      <c r="E107" s="14" t="s">
        <v>63</v>
      </c>
      <c r="F107" s="15" t="str">
        <f t="shared" si="11"/>
        <v>#VALUE!</v>
      </c>
      <c r="G107" s="16">
        <v>7.69999999999995</v>
      </c>
      <c r="H107" s="13" t="str">
        <f t="array" ref="H107">XLOOKUP(B107,'Discount calculation'!A:A,'Discount calculation'!D:D)</f>
        <v>#N/A</v>
      </c>
      <c r="I107" s="13" t="str">
        <f t="shared" si="2"/>
        <v>#VALUE!</v>
      </c>
      <c r="K107" s="18" t="str">
        <f t="shared" si="3"/>
        <v>#VALUE!</v>
      </c>
      <c r="M107" s="33">
        <v>6.313121591273661</v>
      </c>
      <c r="N107" s="21">
        <v>48.94594161052294</v>
      </c>
      <c r="O107" s="21">
        <v>3.2017965992941932</v>
      </c>
      <c r="P107" s="23" t="str">
        <f t="shared" si="4"/>
        <v>#VALUE!</v>
      </c>
      <c r="Q107" s="24" t="str">
        <f t="array" ref="Q107">XLOOKUP(B107,'Calculations As per GA Data'!B125:B246,'Calculations As per GA Data'!J125:J246)</f>
        <v>#DIV/0!</v>
      </c>
      <c r="R107" s="19">
        <f t="array" ref="R107">XLOOKUP(B107,'Calculations As per GA Data'!B125:B246,'Calculations As per GA Data'!F125:F246)</f>
        <v>0</v>
      </c>
      <c r="S107" s="23" t="str">
        <f t="shared" si="5"/>
        <v>#VALUE!</v>
      </c>
      <c r="T107" s="25" t="str">
        <f t="shared" si="6"/>
        <v>#VALUE!</v>
      </c>
      <c r="U107" s="17">
        <v>270.0</v>
      </c>
      <c r="V107" s="23" t="str">
        <f t="shared" si="7"/>
        <v>#VALUE!</v>
      </c>
      <c r="W107" s="25" t="str">
        <f t="shared" si="8"/>
        <v>#VALUE!</v>
      </c>
      <c r="X107" s="26"/>
    </row>
    <row r="108" hidden="1">
      <c r="A108" s="11" t="s">
        <v>217</v>
      </c>
      <c r="B108" s="27" t="s">
        <v>219</v>
      </c>
      <c r="C108" s="11" t="s">
        <v>217</v>
      </c>
      <c r="D108" s="14" t="str">
        <f t="array" ref="D108">XLOOKUP(B108,'Calculations As per GA Data'!B126:B247,'Calculations As per GA Data'!G126:G247)</f>
        <v>#N/A</v>
      </c>
      <c r="E108" s="31">
        <v>599.0</v>
      </c>
      <c r="F108" s="15">
        <f t="shared" si="11"/>
        <v>507.6271186</v>
      </c>
      <c r="G108" s="16">
        <v>7.69999999999995</v>
      </c>
      <c r="H108" s="13" t="str">
        <f t="array" ref="H108">XLOOKUP(B108,'Discount calculation'!A:A,'Discount calculation'!D:D)</f>
        <v>#N/A</v>
      </c>
      <c r="I108" s="13" t="str">
        <f t="shared" si="2"/>
        <v>#N/A</v>
      </c>
      <c r="K108" s="18" t="str">
        <f t="shared" si="3"/>
        <v>#N/A</v>
      </c>
      <c r="M108" s="33">
        <v>6.313121591273661</v>
      </c>
      <c r="N108" s="21">
        <v>48.94594161052294</v>
      </c>
      <c r="O108" s="21">
        <v>3.2017965992941932</v>
      </c>
      <c r="P108" s="23" t="str">
        <f t="shared" si="4"/>
        <v>#N/A</v>
      </c>
      <c r="Q108" s="24" t="str">
        <f t="array" ref="Q108">XLOOKUP(B108,'Calculations As per GA Data'!B126:B247,'Calculations As per GA Data'!J126:J247)</f>
        <v>#VALUE!</v>
      </c>
      <c r="R108" s="19" t="str">
        <f t="array" ref="R108">XLOOKUP(B108,'Calculations As per GA Data'!B126:B247,'Calculations As per GA Data'!F126:F247)</f>
        <v>NA</v>
      </c>
      <c r="S108" s="23" t="str">
        <f t="shared" si="5"/>
        <v>#N/A</v>
      </c>
      <c r="T108" s="25" t="str">
        <f t="shared" si="6"/>
        <v>#N/A</v>
      </c>
      <c r="U108" s="17">
        <v>270.0</v>
      </c>
      <c r="V108" s="23" t="str">
        <f t="shared" si="7"/>
        <v>#N/A</v>
      </c>
      <c r="W108" s="25" t="str">
        <f t="shared" si="8"/>
        <v>#N/A</v>
      </c>
      <c r="X108" s="26"/>
    </row>
    <row r="109" hidden="1">
      <c r="A109" s="11" t="s">
        <v>215</v>
      </c>
      <c r="B109" s="27" t="s">
        <v>220</v>
      </c>
      <c r="C109" s="11" t="s">
        <v>215</v>
      </c>
      <c r="D109" s="13">
        <f t="array" ref="D109">XLOOKUP(B109,'Calculations As per GA Data'!B127:B248,'Calculations As per GA Data'!G127:G248)</f>
        <v>0</v>
      </c>
      <c r="E109" s="14" t="s">
        <v>63</v>
      </c>
      <c r="F109" s="15" t="str">
        <f t="shared" si="11"/>
        <v>#VALUE!</v>
      </c>
      <c r="G109" s="16">
        <v>7.69999999999995</v>
      </c>
      <c r="H109" s="13" t="str">
        <f t="array" ref="H109">XLOOKUP(B109,'Discount calculation'!A:A,'Discount calculation'!D:D)</f>
        <v>#N/A</v>
      </c>
      <c r="I109" s="13" t="str">
        <f t="shared" si="2"/>
        <v>#VALUE!</v>
      </c>
      <c r="K109" s="18" t="str">
        <f t="shared" si="3"/>
        <v>#VALUE!</v>
      </c>
      <c r="M109" s="33">
        <v>6.313121591273661</v>
      </c>
      <c r="N109" s="21">
        <v>48.94594161052294</v>
      </c>
      <c r="O109" s="21">
        <v>3.2017965992941932</v>
      </c>
      <c r="P109" s="23" t="str">
        <f t="shared" si="4"/>
        <v>#VALUE!</v>
      </c>
      <c r="Q109" s="24" t="str">
        <f t="array" ref="Q109">XLOOKUP(B109,'Calculations As per GA Data'!B127:B248,'Calculations As per GA Data'!J127:J248)</f>
        <v>#DIV/0!</v>
      </c>
      <c r="R109" s="19">
        <f t="array" ref="R109">XLOOKUP(B109,'Calculations As per GA Data'!B127:B248,'Calculations As per GA Data'!F127:F248)</f>
        <v>0</v>
      </c>
      <c r="S109" s="23" t="str">
        <f t="shared" si="5"/>
        <v>#VALUE!</v>
      </c>
      <c r="T109" s="25" t="str">
        <f t="shared" si="6"/>
        <v>#VALUE!</v>
      </c>
      <c r="U109" s="17">
        <v>270.0</v>
      </c>
      <c r="V109" s="23" t="str">
        <f t="shared" si="7"/>
        <v>#VALUE!</v>
      </c>
      <c r="W109" s="25" t="str">
        <f t="shared" si="8"/>
        <v>#VALUE!</v>
      </c>
      <c r="X109" s="26"/>
    </row>
    <row r="110" hidden="1">
      <c r="A110" s="11" t="s">
        <v>221</v>
      </c>
      <c r="B110" s="27" t="s">
        <v>222</v>
      </c>
      <c r="C110" s="11" t="s">
        <v>221</v>
      </c>
      <c r="D110" s="13">
        <f t="array" ref="D110">XLOOKUP(B110,'Calculations As per GA Data'!B128:B249,'Calculations As per GA Data'!G128:G249)</f>
        <v>0</v>
      </c>
      <c r="E110" s="14" t="s">
        <v>63</v>
      </c>
      <c r="F110" s="15" t="str">
        <f t="shared" si="11"/>
        <v>#VALUE!</v>
      </c>
      <c r="G110" s="16">
        <v>7.69999999999995</v>
      </c>
      <c r="H110" s="13" t="str">
        <f t="array" ref="H110">XLOOKUP(B110,'Discount calculation'!A:A,'Discount calculation'!D:D)</f>
        <v>#N/A</v>
      </c>
      <c r="I110" s="13" t="str">
        <f t="shared" si="2"/>
        <v>#VALUE!</v>
      </c>
      <c r="K110" s="18" t="str">
        <f t="shared" si="3"/>
        <v>#VALUE!</v>
      </c>
      <c r="M110" s="33">
        <v>6.313121591273661</v>
      </c>
      <c r="N110" s="21">
        <v>48.94594161052294</v>
      </c>
      <c r="O110" s="21">
        <v>3.2017965992941932</v>
      </c>
      <c r="P110" s="23" t="str">
        <f t="shared" si="4"/>
        <v>#VALUE!</v>
      </c>
      <c r="Q110" s="24" t="str">
        <f t="array" ref="Q110">XLOOKUP(B110,'Calculations As per GA Data'!B128:B249,'Calculations As per GA Data'!J128:J249)</f>
        <v>#DIV/0!</v>
      </c>
      <c r="R110" s="19">
        <f t="array" ref="R110">XLOOKUP(B110,'Calculations As per GA Data'!B128:B249,'Calculations As per GA Data'!F128:F249)</f>
        <v>0</v>
      </c>
      <c r="S110" s="23" t="str">
        <f t="shared" si="5"/>
        <v>#VALUE!</v>
      </c>
      <c r="T110" s="25" t="str">
        <f t="shared" si="6"/>
        <v>#VALUE!</v>
      </c>
      <c r="U110" s="17">
        <v>270.0</v>
      </c>
      <c r="V110" s="23" t="str">
        <f t="shared" si="7"/>
        <v>#VALUE!</v>
      </c>
      <c r="W110" s="25" t="str">
        <f t="shared" si="8"/>
        <v>#VALUE!</v>
      </c>
      <c r="X110" s="26"/>
    </row>
    <row r="111" hidden="1">
      <c r="A111" s="11" t="s">
        <v>223</v>
      </c>
      <c r="B111" s="27" t="s">
        <v>224</v>
      </c>
      <c r="C111" s="11" t="s">
        <v>223</v>
      </c>
      <c r="D111" s="13">
        <f t="array" ref="D111">XLOOKUP(B111,'Calculations As per GA Data'!B129:B250,'Calculations As per GA Data'!G129:G250)</f>
        <v>0</v>
      </c>
      <c r="E111" s="30">
        <v>999.0</v>
      </c>
      <c r="F111" s="15">
        <f t="shared" si="11"/>
        <v>846.6101695</v>
      </c>
      <c r="G111" s="16">
        <v>7.69999999999995</v>
      </c>
      <c r="H111" s="13" t="str">
        <f t="array" ref="H111">XLOOKUP(B111,'Discount calculation'!A:A,'Discount calculation'!D:D)</f>
        <v>#N/A</v>
      </c>
      <c r="I111" s="13" t="str">
        <f t="shared" si="2"/>
        <v>#N/A</v>
      </c>
      <c r="K111" s="18" t="str">
        <f t="shared" si="3"/>
        <v>#N/A</v>
      </c>
      <c r="M111" s="33">
        <v>6.313121591273661</v>
      </c>
      <c r="N111" s="21">
        <v>48.94594161052294</v>
      </c>
      <c r="O111" s="21">
        <v>3.2017965992941932</v>
      </c>
      <c r="P111" s="23" t="str">
        <f t="shared" si="4"/>
        <v>#N/A</v>
      </c>
      <c r="Q111" s="24" t="str">
        <f t="array" ref="Q111">XLOOKUP(B111,'Calculations As per GA Data'!B129:B250,'Calculations As per GA Data'!J129:J250)</f>
        <v>#DIV/0!</v>
      </c>
      <c r="R111" s="19">
        <f t="array" ref="R111">XLOOKUP(B111,'Calculations As per GA Data'!B129:B250,'Calculations As per GA Data'!F129:F250)</f>
        <v>0</v>
      </c>
      <c r="S111" s="23" t="str">
        <f t="shared" si="5"/>
        <v>#N/A</v>
      </c>
      <c r="T111" s="25" t="str">
        <f t="shared" si="6"/>
        <v>#N/A</v>
      </c>
      <c r="U111" s="17">
        <v>270.0</v>
      </c>
      <c r="V111" s="23" t="str">
        <f t="shared" si="7"/>
        <v>#N/A</v>
      </c>
      <c r="W111" s="25" t="str">
        <f t="shared" si="8"/>
        <v>#N/A</v>
      </c>
      <c r="X111" s="26"/>
    </row>
    <row r="112" hidden="1">
      <c r="A112" s="11" t="s">
        <v>225</v>
      </c>
      <c r="B112" s="27" t="s">
        <v>226</v>
      </c>
      <c r="C112" s="11" t="s">
        <v>29</v>
      </c>
      <c r="D112" s="13">
        <f t="array" ref="D112">XLOOKUP(B112,'Calculations As per GA Data'!B130:B251,'Calculations As per GA Data'!G130:G251)</f>
        <v>1469.999999</v>
      </c>
      <c r="E112" s="14" t="s">
        <v>63</v>
      </c>
      <c r="F112" s="15" t="str">
        <f t="shared" si="11"/>
        <v>#VALUE!</v>
      </c>
      <c r="G112" s="16">
        <v>7.69999999999995</v>
      </c>
      <c r="H112" s="13">
        <f t="array" ref="H112">XLOOKUP(B112,'Discount calculation'!A:A,'Discount calculation'!D:D)</f>
        <v>23.98518519</v>
      </c>
      <c r="I112" s="13" t="str">
        <f t="shared" si="2"/>
        <v>#VALUE!</v>
      </c>
      <c r="K112" s="18" t="str">
        <f t="shared" si="3"/>
        <v>#VALUE!</v>
      </c>
      <c r="M112" s="33">
        <v>6.313121591273661</v>
      </c>
      <c r="N112" s="21">
        <v>48.94594161052294</v>
      </c>
      <c r="O112" s="21">
        <v>3.2017965992941932</v>
      </c>
      <c r="P112" s="23" t="str">
        <f t="shared" si="4"/>
        <v>#VALUE!</v>
      </c>
      <c r="Q112" s="24">
        <f t="array" ref="Q112">XLOOKUP(B112,'Calculations As per GA Data'!B130:B251,'Calculations As per GA Data'!J130:J251)</f>
        <v>2242.46176</v>
      </c>
      <c r="R112" s="19">
        <f t="array" ref="R112">XLOOKUP(B112,'Calculations As per GA Data'!B130:B251,'Calculations As per GA Data'!F130:F251)</f>
        <v>1</v>
      </c>
      <c r="S112" s="23" t="str">
        <f t="shared" si="5"/>
        <v>#VALUE!</v>
      </c>
      <c r="T112" s="25" t="str">
        <f t="shared" si="6"/>
        <v>#VALUE!</v>
      </c>
      <c r="U112" s="17">
        <v>270.0</v>
      </c>
      <c r="V112" s="23" t="str">
        <f t="shared" si="7"/>
        <v>#VALUE!</v>
      </c>
      <c r="W112" s="25" t="str">
        <f t="shared" si="8"/>
        <v>#VALUE!</v>
      </c>
      <c r="X112" s="26"/>
    </row>
    <row r="113" hidden="1">
      <c r="A113" s="34" t="s">
        <v>227</v>
      </c>
      <c r="B113" s="27" t="s">
        <v>228</v>
      </c>
      <c r="C113" s="34" t="s">
        <v>227</v>
      </c>
      <c r="D113" s="13">
        <f t="array" ref="D113">XLOOKUP(B113,'Calculations As per GA Data'!B131:B252,'Calculations As per GA Data'!G131:G252)</f>
        <v>0</v>
      </c>
      <c r="E113" s="35">
        <v>899.0</v>
      </c>
      <c r="F113" s="15">
        <f t="shared" si="11"/>
        <v>761.8644068</v>
      </c>
      <c r="G113" s="16">
        <v>7.69999999999995</v>
      </c>
      <c r="H113" s="13" t="str">
        <f t="array" ref="H113">XLOOKUP(B113,'Discount calculation'!A:A,'Discount calculation'!D:D)</f>
        <v>#N/A</v>
      </c>
      <c r="I113" s="13" t="str">
        <f t="shared" si="2"/>
        <v>#N/A</v>
      </c>
      <c r="K113" s="18" t="str">
        <f t="shared" si="3"/>
        <v>#N/A</v>
      </c>
      <c r="M113" s="33">
        <v>6.313121591273661</v>
      </c>
      <c r="N113" s="21">
        <v>48.94594161052294</v>
      </c>
      <c r="O113" s="21">
        <v>3.2017965992941932</v>
      </c>
      <c r="P113" s="23" t="str">
        <f t="shared" si="4"/>
        <v>#N/A</v>
      </c>
      <c r="Q113" s="24" t="str">
        <f t="array" ref="Q113">XLOOKUP(B113,'Calculations As per GA Data'!B131:B252,'Calculations As per GA Data'!J131:J252)</f>
        <v>#DIV/0!</v>
      </c>
      <c r="R113" s="19">
        <f t="array" ref="R113">XLOOKUP(B113,'Calculations As per GA Data'!B131:B252,'Calculations As per GA Data'!F131:F252)</f>
        <v>0</v>
      </c>
      <c r="S113" s="23" t="str">
        <f t="shared" si="5"/>
        <v>#N/A</v>
      </c>
      <c r="T113" s="25" t="str">
        <f t="shared" si="6"/>
        <v>#N/A</v>
      </c>
      <c r="U113" s="17">
        <v>270.0</v>
      </c>
      <c r="V113" s="23" t="str">
        <f t="shared" si="7"/>
        <v>#N/A</v>
      </c>
      <c r="W113" s="25" t="str">
        <f t="shared" si="8"/>
        <v>#N/A</v>
      </c>
      <c r="X113" s="26"/>
    </row>
    <row r="114" hidden="1">
      <c r="A114" s="11" t="s">
        <v>229</v>
      </c>
      <c r="B114" s="27" t="s">
        <v>230</v>
      </c>
      <c r="C114" s="11" t="s">
        <v>229</v>
      </c>
      <c r="D114" s="13">
        <f t="array" ref="D114">XLOOKUP(B114,'Calculations As per GA Data'!B132:B253,'Calculations As per GA Data'!G132:G253)</f>
        <v>2246.999957</v>
      </c>
      <c r="E114" s="30">
        <v>749.0</v>
      </c>
      <c r="F114" s="15">
        <f t="shared" si="11"/>
        <v>634.7457627</v>
      </c>
      <c r="G114" s="16">
        <v>7.69999999999995</v>
      </c>
      <c r="H114" s="13">
        <f t="array" ref="H114">XLOOKUP(B114,'Discount calculation'!A:A,'Discount calculation'!D:D)</f>
        <v>13.7</v>
      </c>
      <c r="I114" s="13">
        <f t="shared" si="2"/>
        <v>613.3457627</v>
      </c>
      <c r="K114" s="18">
        <f t="shared" si="3"/>
        <v>613.3457627</v>
      </c>
      <c r="M114" s="33">
        <v>6.313121591273661</v>
      </c>
      <c r="N114" s="21">
        <v>48.94594161052294</v>
      </c>
      <c r="O114" s="21">
        <v>3.2017965992941932</v>
      </c>
      <c r="P114" s="23">
        <f t="shared" si="4"/>
        <v>554.8849029</v>
      </c>
      <c r="Q114" s="24">
        <f t="array" ref="Q114">XLOOKUP(B114,'Calculations As per GA Data'!B132:B253,'Calculations As per GA Data'!J132:J253)</f>
        <v>747.4872532</v>
      </c>
      <c r="R114" s="19">
        <f t="array" ref="R114">XLOOKUP(B114,'Calculations As per GA Data'!B132:B253,'Calculations As per GA Data'!F132:F253)</f>
        <v>3</v>
      </c>
      <c r="S114" s="23">
        <f t="shared" si="5"/>
        <v>-192.6023503</v>
      </c>
      <c r="T114" s="25">
        <f t="shared" si="6"/>
        <v>-0.3140192074</v>
      </c>
      <c r="U114" s="17">
        <v>270.0</v>
      </c>
      <c r="V114" s="23">
        <f t="shared" si="7"/>
        <v>-462.6023503</v>
      </c>
      <c r="W114" s="25">
        <f t="shared" si="8"/>
        <v>-0.7542276778</v>
      </c>
      <c r="X114" s="26"/>
    </row>
    <row r="115" hidden="1">
      <c r="A115" s="11" t="s">
        <v>231</v>
      </c>
      <c r="B115" s="27" t="s">
        <v>232</v>
      </c>
      <c r="C115" s="11" t="s">
        <v>231</v>
      </c>
      <c r="D115" s="13">
        <f t="array" ref="D115">XLOOKUP(B115,'Calculations As per GA Data'!B133:B254,'Calculations As per GA Data'!G133:G254)</f>
        <v>198.999961</v>
      </c>
      <c r="E115" s="31">
        <v>199.0</v>
      </c>
      <c r="F115" s="15">
        <f t="shared" si="11"/>
        <v>168.6440678</v>
      </c>
      <c r="G115" s="16">
        <v>7.69999999999995</v>
      </c>
      <c r="H115" s="13">
        <f t="array" ref="H115">XLOOKUP(B115,'Discount calculation'!A:A,'Discount calculation'!D:D)</f>
        <v>3.901666667</v>
      </c>
      <c r="I115" s="13">
        <f t="shared" si="2"/>
        <v>157.0424011</v>
      </c>
      <c r="K115" s="18">
        <f t="shared" si="3"/>
        <v>157.0424011</v>
      </c>
      <c r="M115" s="33">
        <v>6.313121591273661</v>
      </c>
      <c r="N115" s="21">
        <v>48.94594161052294</v>
      </c>
      <c r="O115" s="21">
        <v>3.2017965992941932</v>
      </c>
      <c r="P115" s="23">
        <f t="shared" si="4"/>
        <v>98.58154133</v>
      </c>
      <c r="Q115" s="24">
        <f t="array" ref="Q115">XLOOKUP(B115,'Calculations As per GA Data'!B133:B254,'Calculations As per GA Data'!J133:J254)</f>
        <v>917.3707198</v>
      </c>
      <c r="R115" s="19">
        <f t="array" ref="R115">XLOOKUP(B115,'Calculations As per GA Data'!B133:B254,'Calculations As per GA Data'!F133:F254)</f>
        <v>1</v>
      </c>
      <c r="S115" s="23">
        <f t="shared" si="5"/>
        <v>-818.7891785</v>
      </c>
      <c r="T115" s="25">
        <f t="shared" si="6"/>
        <v>-5.213809599</v>
      </c>
      <c r="U115" s="17">
        <v>270.0</v>
      </c>
      <c r="V115" s="23">
        <f t="shared" si="7"/>
        <v>-1088.789179</v>
      </c>
      <c r="W115" s="25">
        <f t="shared" si="8"/>
        <v>-6.933090495</v>
      </c>
      <c r="X115" s="26"/>
    </row>
    <row r="116" hidden="1">
      <c r="A116" s="11" t="s">
        <v>84</v>
      </c>
      <c r="B116" s="27" t="s">
        <v>233</v>
      </c>
      <c r="C116" s="11" t="s">
        <v>29</v>
      </c>
      <c r="D116" s="13">
        <f t="array" ref="D116">XLOOKUP(B116,'Calculations As per GA Data'!B134:B255,'Calculations As per GA Data'!G134:G255)</f>
        <v>0</v>
      </c>
      <c r="E116" s="30">
        <v>1148.0</v>
      </c>
      <c r="F116" s="15">
        <f t="shared" si="11"/>
        <v>972.8813559</v>
      </c>
      <c r="G116" s="16">
        <v>7.69999999999995</v>
      </c>
      <c r="H116" s="13" t="str">
        <f t="array" ref="H116">XLOOKUP(B116,'Discount calculation'!A:A,'Discount calculation'!D:D)</f>
        <v>#N/A</v>
      </c>
      <c r="I116" s="13" t="str">
        <f t="shared" si="2"/>
        <v>#N/A</v>
      </c>
      <c r="K116" s="18" t="str">
        <f t="shared" si="3"/>
        <v>#N/A</v>
      </c>
      <c r="M116" s="33">
        <v>6.313121591273661</v>
      </c>
      <c r="N116" s="21">
        <v>48.94594161052294</v>
      </c>
      <c r="O116" s="21">
        <v>3.2017965992941932</v>
      </c>
      <c r="P116" s="23" t="str">
        <f t="shared" si="4"/>
        <v>#N/A</v>
      </c>
      <c r="Q116" s="24" t="str">
        <f t="array" ref="Q116">XLOOKUP(B116,'Calculations As per GA Data'!B134:B255,'Calculations As per GA Data'!J134:J255)</f>
        <v>#DIV/0!</v>
      </c>
      <c r="R116" s="19">
        <f t="array" ref="R116">XLOOKUP(B116,'Calculations As per GA Data'!B134:B255,'Calculations As per GA Data'!F134:F255)</f>
        <v>0</v>
      </c>
      <c r="S116" s="23" t="str">
        <f t="shared" si="5"/>
        <v>#N/A</v>
      </c>
      <c r="T116" s="25" t="str">
        <f t="shared" si="6"/>
        <v>#N/A</v>
      </c>
      <c r="U116" s="17">
        <v>270.0</v>
      </c>
      <c r="V116" s="23" t="str">
        <f t="shared" si="7"/>
        <v>#N/A</v>
      </c>
      <c r="W116" s="25" t="str">
        <f t="shared" si="8"/>
        <v>#N/A</v>
      </c>
      <c r="X116" s="26"/>
    </row>
    <row r="117">
      <c r="M117" s="36"/>
    </row>
    <row r="118">
      <c r="M118" s="36"/>
    </row>
    <row r="119">
      <c r="M119" s="36"/>
    </row>
    <row r="120">
      <c r="M120" s="36"/>
    </row>
    <row r="121">
      <c r="M121" s="36"/>
    </row>
    <row r="122">
      <c r="M122" s="36"/>
    </row>
    <row r="123">
      <c r="M123" s="36"/>
    </row>
    <row r="124">
      <c r="M124" s="36"/>
    </row>
    <row r="125">
      <c r="M125" s="36"/>
    </row>
    <row r="126">
      <c r="M126" s="36"/>
    </row>
    <row r="127">
      <c r="M127" s="36"/>
    </row>
    <row r="128">
      <c r="M128" s="36"/>
    </row>
    <row r="129">
      <c r="M129" s="36"/>
    </row>
    <row r="130">
      <c r="M130" s="36"/>
    </row>
    <row r="131">
      <c r="M131" s="36"/>
    </row>
    <row r="132">
      <c r="M132" s="36"/>
    </row>
    <row r="133">
      <c r="M133" s="36"/>
    </row>
    <row r="134">
      <c r="M134" s="37"/>
    </row>
    <row r="135">
      <c r="M135" s="37"/>
    </row>
    <row r="136">
      <c r="M136" s="37"/>
    </row>
    <row r="137">
      <c r="M137" s="37"/>
    </row>
    <row r="138">
      <c r="M138" s="37"/>
    </row>
    <row r="139">
      <c r="M139" s="37"/>
    </row>
    <row r="140">
      <c r="M140" s="37"/>
    </row>
    <row r="141">
      <c r="M141" s="37"/>
    </row>
    <row r="142">
      <c r="M142" s="37"/>
    </row>
    <row r="143">
      <c r="M143" s="37"/>
    </row>
    <row r="144">
      <c r="M144" s="37"/>
    </row>
    <row r="145">
      <c r="M145" s="37"/>
    </row>
    <row r="146">
      <c r="M146" s="37"/>
    </row>
    <row r="147">
      <c r="M147" s="37"/>
    </row>
    <row r="148">
      <c r="M148" s="37"/>
    </row>
    <row r="149">
      <c r="M149" s="37"/>
    </row>
    <row r="150">
      <c r="M150" s="37"/>
    </row>
    <row r="151">
      <c r="M151" s="37"/>
    </row>
    <row r="152">
      <c r="M152" s="37"/>
    </row>
    <row r="153">
      <c r="M153" s="37"/>
    </row>
    <row r="154">
      <c r="M154" s="37"/>
    </row>
    <row r="155">
      <c r="M155" s="37"/>
    </row>
    <row r="156">
      <c r="M156" s="37"/>
    </row>
    <row r="157">
      <c r="M157" s="37"/>
    </row>
    <row r="158">
      <c r="M158" s="37"/>
    </row>
    <row r="159">
      <c r="M159" s="37"/>
    </row>
    <row r="160">
      <c r="M160" s="37"/>
    </row>
    <row r="161">
      <c r="M161" s="37"/>
    </row>
    <row r="162">
      <c r="M162" s="37"/>
    </row>
    <row r="163">
      <c r="M163" s="37"/>
    </row>
    <row r="164">
      <c r="M164" s="37"/>
    </row>
    <row r="165">
      <c r="M165" s="37"/>
    </row>
    <row r="166">
      <c r="M166" s="37"/>
    </row>
    <row r="167">
      <c r="M167" s="37"/>
    </row>
    <row r="168">
      <c r="M168" s="37"/>
    </row>
    <row r="169">
      <c r="M169" s="37"/>
    </row>
    <row r="170">
      <c r="M170" s="37"/>
    </row>
    <row r="171">
      <c r="M171" s="37"/>
    </row>
    <row r="172">
      <c r="M172" s="37"/>
    </row>
    <row r="173">
      <c r="M173" s="37"/>
    </row>
    <row r="174">
      <c r="M174" s="37"/>
    </row>
    <row r="175">
      <c r="M175" s="37"/>
    </row>
    <row r="176">
      <c r="M176" s="37"/>
    </row>
    <row r="177">
      <c r="M177" s="37"/>
    </row>
    <row r="178">
      <c r="M178" s="37"/>
    </row>
    <row r="179">
      <c r="M179" s="37"/>
    </row>
    <row r="180">
      <c r="M180" s="37"/>
    </row>
    <row r="181">
      <c r="M181" s="37"/>
    </row>
    <row r="182">
      <c r="M182" s="37"/>
    </row>
    <row r="183">
      <c r="M183" s="37"/>
    </row>
    <row r="184">
      <c r="M184" s="37"/>
    </row>
    <row r="185">
      <c r="M185" s="37"/>
    </row>
    <row r="186">
      <c r="M186" s="37"/>
    </row>
    <row r="187">
      <c r="M187" s="37"/>
    </row>
    <row r="188">
      <c r="M188" s="37"/>
    </row>
    <row r="189">
      <c r="M189" s="37"/>
    </row>
    <row r="190">
      <c r="M190" s="37"/>
    </row>
    <row r="191">
      <c r="M191" s="37"/>
    </row>
    <row r="192">
      <c r="M192" s="37"/>
    </row>
    <row r="193">
      <c r="M193" s="37"/>
    </row>
    <row r="194">
      <c r="M194" s="37"/>
    </row>
    <row r="195">
      <c r="M195" s="37"/>
    </row>
    <row r="196">
      <c r="M196" s="37"/>
    </row>
    <row r="197">
      <c r="M197" s="37"/>
    </row>
    <row r="198">
      <c r="M198" s="37"/>
    </row>
    <row r="199">
      <c r="M199" s="37"/>
    </row>
    <row r="200">
      <c r="M200" s="37"/>
    </row>
    <row r="201">
      <c r="M201" s="37"/>
    </row>
    <row r="202">
      <c r="M202" s="37"/>
    </row>
    <row r="203">
      <c r="M203" s="37"/>
    </row>
    <row r="204">
      <c r="M204" s="37"/>
    </row>
    <row r="205">
      <c r="M205" s="37"/>
    </row>
    <row r="206">
      <c r="M206" s="37"/>
    </row>
    <row r="207">
      <c r="M207" s="37"/>
    </row>
    <row r="208">
      <c r="M208" s="37"/>
    </row>
    <row r="209">
      <c r="M209" s="37"/>
    </row>
    <row r="210">
      <c r="M210" s="37"/>
    </row>
    <row r="211">
      <c r="M211" s="37"/>
    </row>
    <row r="212">
      <c r="M212" s="37"/>
    </row>
    <row r="213">
      <c r="M213" s="37"/>
    </row>
    <row r="214">
      <c r="M214" s="37"/>
    </row>
    <row r="215">
      <c r="M215" s="37"/>
    </row>
    <row r="216">
      <c r="M216" s="37"/>
    </row>
    <row r="217">
      <c r="M217" s="37"/>
    </row>
    <row r="218">
      <c r="M218" s="37"/>
    </row>
    <row r="219">
      <c r="M219" s="37"/>
    </row>
    <row r="220">
      <c r="M220" s="37"/>
    </row>
    <row r="221">
      <c r="M221" s="37"/>
    </row>
    <row r="222">
      <c r="M222" s="37"/>
    </row>
    <row r="223">
      <c r="M223" s="37"/>
    </row>
    <row r="224">
      <c r="M224" s="37"/>
    </row>
    <row r="225">
      <c r="M225" s="37"/>
    </row>
    <row r="226">
      <c r="M226" s="37"/>
    </row>
    <row r="227">
      <c r="M227" s="37"/>
    </row>
    <row r="228">
      <c r="M228" s="37"/>
    </row>
    <row r="229">
      <c r="M229" s="37"/>
    </row>
    <row r="230">
      <c r="M230" s="37"/>
    </row>
    <row r="231">
      <c r="M231" s="37"/>
    </row>
    <row r="232">
      <c r="M232" s="37"/>
    </row>
    <row r="233">
      <c r="M233" s="37"/>
    </row>
    <row r="234">
      <c r="M234" s="37"/>
    </row>
    <row r="235">
      <c r="M235" s="37"/>
    </row>
    <row r="236">
      <c r="M236" s="37"/>
    </row>
    <row r="237">
      <c r="M237" s="37"/>
    </row>
    <row r="238">
      <c r="M238" s="37"/>
    </row>
    <row r="239">
      <c r="M239" s="37"/>
    </row>
    <row r="240">
      <c r="M240" s="37"/>
    </row>
    <row r="241">
      <c r="M241" s="37"/>
    </row>
    <row r="242">
      <c r="M242" s="37"/>
    </row>
    <row r="243">
      <c r="M243" s="37"/>
    </row>
    <row r="244">
      <c r="M244" s="37"/>
    </row>
    <row r="245">
      <c r="M245" s="37"/>
    </row>
    <row r="246">
      <c r="M246" s="37"/>
    </row>
    <row r="247">
      <c r="M247" s="37"/>
    </row>
    <row r="248">
      <c r="M248" s="37"/>
    </row>
    <row r="249">
      <c r="M249" s="37"/>
    </row>
    <row r="250">
      <c r="M250" s="37"/>
    </row>
    <row r="251">
      <c r="M251" s="37"/>
    </row>
    <row r="252">
      <c r="M252" s="37"/>
    </row>
    <row r="253">
      <c r="M253" s="37"/>
    </row>
    <row r="254">
      <c r="M254" s="37"/>
    </row>
    <row r="255">
      <c r="M255" s="37"/>
    </row>
    <row r="256">
      <c r="M256" s="37"/>
    </row>
    <row r="257">
      <c r="M257" s="37"/>
    </row>
    <row r="258">
      <c r="M258" s="37"/>
    </row>
    <row r="259">
      <c r="M259" s="37"/>
    </row>
    <row r="260">
      <c r="M260" s="37"/>
    </row>
    <row r="261">
      <c r="M261" s="37"/>
    </row>
    <row r="262">
      <c r="M262" s="37"/>
    </row>
    <row r="263">
      <c r="M263" s="37"/>
    </row>
    <row r="264">
      <c r="M264" s="37"/>
    </row>
    <row r="265">
      <c r="M265" s="37"/>
    </row>
    <row r="266">
      <c r="M266" s="37"/>
    </row>
    <row r="267">
      <c r="M267" s="37"/>
    </row>
    <row r="268">
      <c r="M268" s="37"/>
    </row>
    <row r="269">
      <c r="M269" s="37"/>
    </row>
    <row r="270">
      <c r="M270" s="37"/>
    </row>
    <row r="271">
      <c r="M271" s="37"/>
    </row>
    <row r="272">
      <c r="M272" s="37"/>
    </row>
    <row r="273">
      <c r="M273" s="37"/>
    </row>
    <row r="274">
      <c r="M274" s="37"/>
    </row>
    <row r="275">
      <c r="M275" s="37"/>
    </row>
    <row r="276">
      <c r="M276" s="37"/>
    </row>
    <row r="277">
      <c r="M277" s="37"/>
    </row>
    <row r="278">
      <c r="M278" s="37"/>
    </row>
    <row r="279">
      <c r="M279" s="37"/>
    </row>
    <row r="280">
      <c r="M280" s="37"/>
    </row>
    <row r="281">
      <c r="M281" s="37"/>
    </row>
    <row r="282">
      <c r="M282" s="37"/>
    </row>
    <row r="283">
      <c r="M283" s="37"/>
    </row>
    <row r="284">
      <c r="M284" s="37"/>
    </row>
    <row r="285">
      <c r="M285" s="37"/>
    </row>
    <row r="286">
      <c r="M286" s="37"/>
    </row>
    <row r="287">
      <c r="M287" s="37"/>
    </row>
    <row r="288">
      <c r="M288" s="37"/>
    </row>
    <row r="289">
      <c r="M289" s="37"/>
    </row>
    <row r="290">
      <c r="M290" s="37"/>
    </row>
    <row r="291">
      <c r="M291" s="37"/>
    </row>
    <row r="292">
      <c r="M292" s="37"/>
    </row>
    <row r="293">
      <c r="M293" s="37"/>
    </row>
    <row r="294">
      <c r="M294" s="37"/>
    </row>
    <row r="295">
      <c r="M295" s="37"/>
    </row>
    <row r="296">
      <c r="M296" s="37"/>
    </row>
    <row r="297">
      <c r="M297" s="37"/>
    </row>
    <row r="298">
      <c r="M298" s="37"/>
    </row>
    <row r="299">
      <c r="M299" s="37"/>
    </row>
    <row r="300">
      <c r="M300" s="37"/>
    </row>
    <row r="301">
      <c r="M301" s="37"/>
    </row>
    <row r="302">
      <c r="M302" s="37"/>
    </row>
    <row r="303">
      <c r="M303" s="37"/>
    </row>
    <row r="304">
      <c r="M304" s="37"/>
    </row>
    <row r="305">
      <c r="M305" s="37"/>
    </row>
    <row r="306">
      <c r="M306" s="37"/>
    </row>
    <row r="307">
      <c r="M307" s="37"/>
    </row>
    <row r="308">
      <c r="M308" s="37"/>
    </row>
    <row r="309">
      <c r="M309" s="37"/>
    </row>
    <row r="310">
      <c r="M310" s="37"/>
    </row>
    <row r="311">
      <c r="M311" s="37"/>
    </row>
    <row r="312">
      <c r="M312" s="37"/>
    </row>
    <row r="313">
      <c r="M313" s="37"/>
    </row>
    <row r="314">
      <c r="M314" s="37"/>
    </row>
    <row r="315">
      <c r="M315" s="37"/>
    </row>
    <row r="316">
      <c r="M316" s="37"/>
    </row>
    <row r="317">
      <c r="M317" s="37"/>
    </row>
    <row r="318">
      <c r="M318" s="37"/>
    </row>
    <row r="319">
      <c r="M319" s="37"/>
    </row>
    <row r="320">
      <c r="M320" s="37"/>
    </row>
    <row r="321">
      <c r="M321" s="37"/>
    </row>
    <row r="322">
      <c r="M322" s="37"/>
    </row>
    <row r="323">
      <c r="M323" s="37"/>
    </row>
    <row r="324">
      <c r="M324" s="37"/>
    </row>
    <row r="325">
      <c r="M325" s="37"/>
    </row>
    <row r="326">
      <c r="M326" s="37"/>
    </row>
    <row r="327">
      <c r="M327" s="37"/>
    </row>
    <row r="328">
      <c r="M328" s="37"/>
    </row>
    <row r="329">
      <c r="M329" s="37"/>
    </row>
    <row r="330">
      <c r="M330" s="37"/>
    </row>
    <row r="331">
      <c r="M331" s="37"/>
    </row>
    <row r="332">
      <c r="M332" s="37"/>
    </row>
    <row r="333">
      <c r="M333" s="37"/>
    </row>
    <row r="334">
      <c r="M334" s="37"/>
    </row>
    <row r="335">
      <c r="M335" s="37"/>
    </row>
    <row r="336">
      <c r="M336" s="37"/>
    </row>
    <row r="337">
      <c r="M337" s="37"/>
    </row>
    <row r="338">
      <c r="M338" s="37"/>
    </row>
    <row r="339">
      <c r="M339" s="37"/>
    </row>
    <row r="340">
      <c r="M340" s="37"/>
    </row>
    <row r="341">
      <c r="M341" s="37"/>
    </row>
    <row r="342">
      <c r="M342" s="37"/>
    </row>
    <row r="343">
      <c r="M343" s="37"/>
    </row>
    <row r="344">
      <c r="M344" s="37"/>
    </row>
    <row r="345">
      <c r="M345" s="37"/>
    </row>
    <row r="346">
      <c r="M346" s="37"/>
    </row>
    <row r="347">
      <c r="M347" s="37"/>
    </row>
    <row r="348">
      <c r="M348" s="37"/>
    </row>
    <row r="349">
      <c r="M349" s="37"/>
    </row>
    <row r="350">
      <c r="M350" s="37"/>
    </row>
    <row r="351">
      <c r="M351" s="37"/>
    </row>
    <row r="352">
      <c r="M352" s="37"/>
    </row>
    <row r="353">
      <c r="M353" s="37"/>
    </row>
    <row r="354">
      <c r="M354" s="37"/>
    </row>
    <row r="355">
      <c r="M355" s="37"/>
    </row>
    <row r="356">
      <c r="M356" s="37"/>
    </row>
    <row r="357">
      <c r="M357" s="37"/>
    </row>
    <row r="358">
      <c r="M358" s="37"/>
    </row>
    <row r="359">
      <c r="M359" s="37"/>
    </row>
    <row r="360">
      <c r="M360" s="37"/>
    </row>
    <row r="361">
      <c r="M361" s="37"/>
    </row>
    <row r="362">
      <c r="M362" s="37"/>
    </row>
    <row r="363">
      <c r="M363" s="37"/>
    </row>
    <row r="364">
      <c r="M364" s="37"/>
    </row>
    <row r="365">
      <c r="M365" s="37"/>
    </row>
    <row r="366">
      <c r="M366" s="37"/>
    </row>
    <row r="367">
      <c r="M367" s="37"/>
    </row>
    <row r="368">
      <c r="M368" s="37"/>
    </row>
    <row r="369">
      <c r="M369" s="37"/>
    </row>
    <row r="370">
      <c r="M370" s="37"/>
    </row>
    <row r="371">
      <c r="M371" s="37"/>
    </row>
    <row r="372">
      <c r="M372" s="37"/>
    </row>
    <row r="373">
      <c r="M373" s="37"/>
    </row>
    <row r="374">
      <c r="M374" s="37"/>
    </row>
    <row r="375">
      <c r="M375" s="37"/>
    </row>
    <row r="376">
      <c r="M376" s="37"/>
    </row>
    <row r="377">
      <c r="M377" s="37"/>
    </row>
    <row r="378">
      <c r="M378" s="37"/>
    </row>
    <row r="379">
      <c r="M379" s="37"/>
    </row>
    <row r="380">
      <c r="M380" s="37"/>
    </row>
    <row r="381">
      <c r="M381" s="37"/>
    </row>
    <row r="382">
      <c r="M382" s="37"/>
    </row>
    <row r="383">
      <c r="M383" s="37"/>
    </row>
    <row r="384">
      <c r="M384" s="37"/>
    </row>
    <row r="385">
      <c r="M385" s="37"/>
    </row>
    <row r="386">
      <c r="M386" s="37"/>
    </row>
    <row r="387">
      <c r="M387" s="37"/>
    </row>
    <row r="388">
      <c r="M388" s="37"/>
    </row>
    <row r="389">
      <c r="M389" s="37"/>
    </row>
    <row r="390">
      <c r="M390" s="37"/>
    </row>
    <row r="391">
      <c r="M391" s="37"/>
    </row>
    <row r="392">
      <c r="M392" s="37"/>
    </row>
    <row r="393">
      <c r="M393" s="37"/>
    </row>
    <row r="394">
      <c r="M394" s="37"/>
    </row>
    <row r="395">
      <c r="M395" s="37"/>
    </row>
    <row r="396">
      <c r="M396" s="37"/>
    </row>
    <row r="397">
      <c r="M397" s="37"/>
    </row>
    <row r="398">
      <c r="M398" s="37"/>
    </row>
    <row r="399">
      <c r="M399" s="37"/>
    </row>
    <row r="400">
      <c r="M400" s="37"/>
    </row>
    <row r="401">
      <c r="M401" s="37"/>
    </row>
    <row r="402">
      <c r="M402" s="37"/>
    </row>
    <row r="403">
      <c r="M403" s="37"/>
    </row>
    <row r="404">
      <c r="M404" s="37"/>
    </row>
    <row r="405">
      <c r="M405" s="37"/>
    </row>
    <row r="406">
      <c r="M406" s="37"/>
    </row>
    <row r="407">
      <c r="M407" s="37"/>
    </row>
    <row r="408">
      <c r="M408" s="37"/>
    </row>
    <row r="409">
      <c r="M409" s="37"/>
    </row>
    <row r="410">
      <c r="M410" s="37"/>
    </row>
    <row r="411">
      <c r="M411" s="37"/>
    </row>
    <row r="412">
      <c r="M412" s="37"/>
    </row>
    <row r="413">
      <c r="M413" s="37"/>
    </row>
    <row r="414">
      <c r="M414" s="37"/>
    </row>
    <row r="415">
      <c r="M415" s="37"/>
    </row>
    <row r="416">
      <c r="M416" s="37"/>
    </row>
    <row r="417">
      <c r="M417" s="37"/>
    </row>
    <row r="418">
      <c r="M418" s="37"/>
    </row>
    <row r="419">
      <c r="M419" s="37"/>
    </row>
    <row r="420">
      <c r="M420" s="37"/>
    </row>
    <row r="421">
      <c r="M421" s="37"/>
    </row>
    <row r="422">
      <c r="M422" s="37"/>
    </row>
    <row r="423">
      <c r="M423" s="37"/>
    </row>
    <row r="424">
      <c r="M424" s="37"/>
    </row>
    <row r="425">
      <c r="M425" s="37"/>
    </row>
    <row r="426">
      <c r="M426" s="37"/>
    </row>
    <row r="427">
      <c r="M427" s="37"/>
    </row>
    <row r="428">
      <c r="M428" s="37"/>
    </row>
    <row r="429">
      <c r="M429" s="37"/>
    </row>
    <row r="430">
      <c r="M430" s="37"/>
    </row>
    <row r="431">
      <c r="M431" s="37"/>
    </row>
    <row r="432">
      <c r="M432" s="37"/>
    </row>
    <row r="433">
      <c r="M433" s="37"/>
    </row>
    <row r="434">
      <c r="M434" s="37"/>
    </row>
    <row r="435">
      <c r="M435" s="37"/>
    </row>
    <row r="436">
      <c r="M436" s="37"/>
    </row>
    <row r="437">
      <c r="M437" s="37"/>
    </row>
    <row r="438">
      <c r="M438" s="37"/>
    </row>
    <row r="439">
      <c r="M439" s="37"/>
    </row>
    <row r="440">
      <c r="M440" s="37"/>
    </row>
    <row r="441">
      <c r="M441" s="37"/>
    </row>
    <row r="442">
      <c r="M442" s="37"/>
    </row>
    <row r="443">
      <c r="M443" s="37"/>
    </row>
    <row r="444">
      <c r="M444" s="37"/>
    </row>
    <row r="445">
      <c r="M445" s="37"/>
    </row>
    <row r="446">
      <c r="M446" s="37"/>
    </row>
    <row r="447">
      <c r="M447" s="37"/>
    </row>
    <row r="448">
      <c r="M448" s="37"/>
    </row>
    <row r="449">
      <c r="M449" s="37"/>
    </row>
    <row r="450">
      <c r="M450" s="37"/>
    </row>
    <row r="451">
      <c r="M451" s="37"/>
    </row>
    <row r="452">
      <c r="M452" s="37"/>
    </row>
    <row r="453">
      <c r="M453" s="37"/>
    </row>
    <row r="454">
      <c r="M454" s="37"/>
    </row>
    <row r="455">
      <c r="M455" s="37"/>
    </row>
    <row r="456">
      <c r="M456" s="37"/>
    </row>
    <row r="457">
      <c r="M457" s="37"/>
    </row>
    <row r="458">
      <c r="M458" s="37"/>
    </row>
    <row r="459">
      <c r="M459" s="37"/>
    </row>
    <row r="460">
      <c r="M460" s="37"/>
    </row>
    <row r="461">
      <c r="M461" s="37"/>
    </row>
    <row r="462">
      <c r="M462" s="37"/>
    </row>
    <row r="463">
      <c r="M463" s="37"/>
    </row>
    <row r="464">
      <c r="M464" s="37"/>
    </row>
    <row r="465">
      <c r="M465" s="37"/>
    </row>
    <row r="466">
      <c r="M466" s="37"/>
    </row>
    <row r="467">
      <c r="M467" s="37"/>
    </row>
    <row r="468">
      <c r="M468" s="37"/>
    </row>
    <row r="469">
      <c r="M469" s="37"/>
    </row>
    <row r="470">
      <c r="M470" s="37"/>
    </row>
    <row r="471">
      <c r="M471" s="37"/>
    </row>
    <row r="472">
      <c r="M472" s="37"/>
    </row>
    <row r="473">
      <c r="M473" s="37"/>
    </row>
    <row r="474">
      <c r="M474" s="37"/>
    </row>
    <row r="475">
      <c r="M475" s="37"/>
    </row>
    <row r="476">
      <c r="M476" s="37"/>
    </row>
    <row r="477">
      <c r="M477" s="37"/>
    </row>
    <row r="478">
      <c r="M478" s="37"/>
    </row>
    <row r="479">
      <c r="M479" s="37"/>
    </row>
    <row r="480">
      <c r="M480" s="37"/>
    </row>
    <row r="481">
      <c r="M481" s="37"/>
    </row>
    <row r="482">
      <c r="M482" s="37"/>
    </row>
    <row r="483">
      <c r="M483" s="37"/>
    </row>
    <row r="484">
      <c r="M484" s="37"/>
    </row>
    <row r="485">
      <c r="M485" s="37"/>
    </row>
    <row r="486">
      <c r="M486" s="37"/>
    </row>
    <row r="487">
      <c r="M487" s="37"/>
    </row>
    <row r="488">
      <c r="M488" s="37"/>
    </row>
    <row r="489">
      <c r="M489" s="37"/>
    </row>
    <row r="490">
      <c r="M490" s="37"/>
    </row>
    <row r="491">
      <c r="M491" s="37"/>
    </row>
    <row r="492">
      <c r="M492" s="37"/>
    </row>
    <row r="493">
      <c r="M493" s="37"/>
    </row>
    <row r="494">
      <c r="M494" s="37"/>
    </row>
    <row r="495">
      <c r="M495" s="37"/>
    </row>
    <row r="496">
      <c r="M496" s="37"/>
    </row>
    <row r="497">
      <c r="M497" s="37"/>
    </row>
    <row r="498">
      <c r="M498" s="37"/>
    </row>
    <row r="499">
      <c r="M499" s="37"/>
    </row>
    <row r="500">
      <c r="M500" s="37"/>
    </row>
    <row r="501">
      <c r="M501" s="37"/>
    </row>
    <row r="502">
      <c r="M502" s="37"/>
    </row>
    <row r="503">
      <c r="M503" s="37"/>
    </row>
    <row r="504">
      <c r="M504" s="37"/>
    </row>
    <row r="505">
      <c r="M505" s="37"/>
    </row>
    <row r="506">
      <c r="M506" s="37"/>
    </row>
    <row r="507">
      <c r="M507" s="37"/>
    </row>
    <row r="508">
      <c r="M508" s="37"/>
    </row>
    <row r="509">
      <c r="M509" s="37"/>
    </row>
    <row r="510">
      <c r="M510" s="37"/>
    </row>
    <row r="511">
      <c r="M511" s="37"/>
    </row>
    <row r="512">
      <c r="M512" s="37"/>
    </row>
    <row r="513">
      <c r="M513" s="37"/>
    </row>
    <row r="514">
      <c r="M514" s="37"/>
    </row>
    <row r="515">
      <c r="M515" s="37"/>
    </row>
    <row r="516">
      <c r="M516" s="37"/>
    </row>
    <row r="517">
      <c r="M517" s="37"/>
    </row>
    <row r="518">
      <c r="M518" s="37"/>
    </row>
    <row r="519">
      <c r="M519" s="37"/>
    </row>
    <row r="520">
      <c r="M520" s="37"/>
    </row>
    <row r="521">
      <c r="M521" s="37"/>
    </row>
    <row r="522">
      <c r="M522" s="37"/>
    </row>
    <row r="523">
      <c r="M523" s="37"/>
    </row>
    <row r="524">
      <c r="M524" s="37"/>
    </row>
    <row r="525">
      <c r="M525" s="37"/>
    </row>
    <row r="526">
      <c r="M526" s="37"/>
    </row>
    <row r="527">
      <c r="M527" s="37"/>
    </row>
    <row r="528">
      <c r="M528" s="37"/>
    </row>
    <row r="529">
      <c r="M529" s="37"/>
    </row>
    <row r="530">
      <c r="M530" s="37"/>
    </row>
    <row r="531">
      <c r="M531" s="37"/>
    </row>
    <row r="532">
      <c r="M532" s="37"/>
    </row>
    <row r="533">
      <c r="M533" s="37"/>
    </row>
    <row r="534">
      <c r="M534" s="37"/>
    </row>
    <row r="535">
      <c r="M535" s="37"/>
    </row>
    <row r="536">
      <c r="M536" s="37"/>
    </row>
    <row r="537">
      <c r="M537" s="37"/>
    </row>
    <row r="538">
      <c r="M538" s="37"/>
    </row>
    <row r="539">
      <c r="M539" s="37"/>
    </row>
    <row r="540">
      <c r="M540" s="37"/>
    </row>
    <row r="541">
      <c r="M541" s="37"/>
    </row>
    <row r="542">
      <c r="M542" s="37"/>
    </row>
    <row r="543">
      <c r="M543" s="37"/>
    </row>
    <row r="544">
      <c r="M544" s="37"/>
    </row>
    <row r="545">
      <c r="M545" s="37"/>
    </row>
    <row r="546">
      <c r="M546" s="37"/>
    </row>
    <row r="547">
      <c r="M547" s="37"/>
    </row>
    <row r="548">
      <c r="M548" s="37"/>
    </row>
    <row r="549">
      <c r="M549" s="37"/>
    </row>
    <row r="550">
      <c r="M550" s="37"/>
    </row>
    <row r="551">
      <c r="M551" s="37"/>
    </row>
    <row r="552">
      <c r="M552" s="37"/>
    </row>
    <row r="553">
      <c r="M553" s="37"/>
    </row>
    <row r="554">
      <c r="M554" s="37"/>
    </row>
    <row r="555">
      <c r="M555" s="37"/>
    </row>
    <row r="556">
      <c r="M556" s="37"/>
    </row>
    <row r="557">
      <c r="M557" s="37"/>
    </row>
    <row r="558">
      <c r="M558" s="37"/>
    </row>
    <row r="559">
      <c r="M559" s="37"/>
    </row>
    <row r="560">
      <c r="M560" s="37"/>
    </row>
    <row r="561">
      <c r="M561" s="37"/>
    </row>
    <row r="562">
      <c r="M562" s="37"/>
    </row>
    <row r="563">
      <c r="M563" s="37"/>
    </row>
    <row r="564">
      <c r="M564" s="37"/>
    </row>
    <row r="565">
      <c r="M565" s="37"/>
    </row>
    <row r="566">
      <c r="M566" s="37"/>
    </row>
    <row r="567">
      <c r="M567" s="37"/>
    </row>
    <row r="568">
      <c r="M568" s="37"/>
    </row>
    <row r="569">
      <c r="M569" s="37"/>
    </row>
    <row r="570">
      <c r="M570" s="37"/>
    </row>
    <row r="571">
      <c r="M571" s="37"/>
    </row>
    <row r="572">
      <c r="M572" s="37"/>
    </row>
    <row r="573">
      <c r="M573" s="37"/>
    </row>
    <row r="574">
      <c r="M574" s="37"/>
    </row>
    <row r="575">
      <c r="M575" s="37"/>
    </row>
    <row r="576">
      <c r="M576" s="37"/>
    </row>
    <row r="577">
      <c r="M577" s="37"/>
    </row>
    <row r="578">
      <c r="M578" s="37"/>
    </row>
    <row r="579">
      <c r="M579" s="37"/>
    </row>
    <row r="580">
      <c r="M580" s="37"/>
    </row>
    <row r="581">
      <c r="M581" s="37"/>
    </row>
    <row r="582">
      <c r="M582" s="37"/>
    </row>
    <row r="583">
      <c r="M583" s="37"/>
    </row>
    <row r="584">
      <c r="M584" s="37"/>
    </row>
    <row r="585">
      <c r="M585" s="37"/>
    </row>
    <row r="586">
      <c r="M586" s="37"/>
    </row>
    <row r="587">
      <c r="M587" s="37"/>
    </row>
    <row r="588">
      <c r="M588" s="37"/>
    </row>
    <row r="589">
      <c r="M589" s="37"/>
    </row>
    <row r="590">
      <c r="M590" s="37"/>
    </row>
    <row r="591">
      <c r="M591" s="37"/>
    </row>
    <row r="592">
      <c r="M592" s="37"/>
    </row>
    <row r="593">
      <c r="M593" s="37"/>
    </row>
    <row r="594">
      <c r="M594" s="37"/>
    </row>
    <row r="595">
      <c r="M595" s="37"/>
    </row>
    <row r="596">
      <c r="M596" s="37"/>
    </row>
    <row r="597">
      <c r="M597" s="37"/>
    </row>
    <row r="598">
      <c r="M598" s="37"/>
    </row>
    <row r="599">
      <c r="M599" s="37"/>
    </row>
    <row r="600">
      <c r="M600" s="37"/>
    </row>
    <row r="601">
      <c r="M601" s="37"/>
    </row>
    <row r="602">
      <c r="M602" s="37"/>
    </row>
    <row r="603">
      <c r="M603" s="37"/>
    </row>
    <row r="604">
      <c r="M604" s="37"/>
    </row>
    <row r="605">
      <c r="M605" s="37"/>
    </row>
    <row r="606">
      <c r="M606" s="37"/>
    </row>
    <row r="607">
      <c r="M607" s="37"/>
    </row>
    <row r="608">
      <c r="M608" s="37"/>
    </row>
    <row r="609">
      <c r="M609" s="37"/>
    </row>
    <row r="610">
      <c r="M610" s="37"/>
    </row>
    <row r="611">
      <c r="M611" s="37"/>
    </row>
    <row r="612">
      <c r="M612" s="37"/>
    </row>
    <row r="613">
      <c r="M613" s="37"/>
    </row>
    <row r="614">
      <c r="M614" s="37"/>
    </row>
    <row r="615">
      <c r="M615" s="37"/>
    </row>
    <row r="616">
      <c r="M616" s="37"/>
    </row>
    <row r="617">
      <c r="M617" s="37"/>
    </row>
    <row r="618">
      <c r="M618" s="37"/>
    </row>
    <row r="619">
      <c r="M619" s="37"/>
    </row>
    <row r="620">
      <c r="M620" s="37"/>
    </row>
    <row r="621">
      <c r="M621" s="37"/>
    </row>
    <row r="622">
      <c r="M622" s="37"/>
    </row>
    <row r="623">
      <c r="M623" s="37"/>
    </row>
    <row r="624">
      <c r="M624" s="37"/>
    </row>
    <row r="625">
      <c r="M625" s="37"/>
    </row>
    <row r="626">
      <c r="M626" s="37"/>
    </row>
    <row r="627">
      <c r="M627" s="37"/>
    </row>
    <row r="628">
      <c r="M628" s="37"/>
    </row>
    <row r="629">
      <c r="M629" s="37"/>
    </row>
    <row r="630">
      <c r="M630" s="37"/>
    </row>
    <row r="631">
      <c r="M631" s="37"/>
    </row>
    <row r="632">
      <c r="M632" s="37"/>
    </row>
    <row r="633">
      <c r="M633" s="37"/>
    </row>
    <row r="634">
      <c r="M634" s="37"/>
    </row>
    <row r="635">
      <c r="M635" s="37"/>
    </row>
    <row r="636">
      <c r="M636" s="37"/>
    </row>
    <row r="637">
      <c r="M637" s="37"/>
    </row>
    <row r="638">
      <c r="M638" s="37"/>
    </row>
    <row r="639">
      <c r="M639" s="37"/>
    </row>
    <row r="640">
      <c r="M640" s="37"/>
    </row>
    <row r="641">
      <c r="M641" s="37"/>
    </row>
    <row r="642">
      <c r="M642" s="37"/>
    </row>
    <row r="643">
      <c r="M643" s="37"/>
    </row>
    <row r="644">
      <c r="M644" s="37"/>
    </row>
    <row r="645">
      <c r="M645" s="37"/>
    </row>
    <row r="646">
      <c r="M646" s="37"/>
    </row>
    <row r="647">
      <c r="M647" s="37"/>
    </row>
    <row r="648">
      <c r="M648" s="37"/>
    </row>
    <row r="649">
      <c r="M649" s="37"/>
    </row>
    <row r="650">
      <c r="M650" s="37"/>
    </row>
    <row r="651">
      <c r="M651" s="37"/>
    </row>
    <row r="652">
      <c r="M652" s="37"/>
    </row>
    <row r="653">
      <c r="M653" s="37"/>
    </row>
    <row r="654">
      <c r="M654" s="37"/>
    </row>
    <row r="655">
      <c r="M655" s="37"/>
    </row>
    <row r="656">
      <c r="M656" s="37"/>
    </row>
    <row r="657">
      <c r="M657" s="37"/>
    </row>
    <row r="658">
      <c r="M658" s="37"/>
    </row>
    <row r="659">
      <c r="M659" s="37"/>
    </row>
    <row r="660">
      <c r="M660" s="37"/>
    </row>
    <row r="661">
      <c r="M661" s="37"/>
    </row>
    <row r="662">
      <c r="M662" s="37"/>
    </row>
    <row r="663">
      <c r="M663" s="37"/>
    </row>
    <row r="664">
      <c r="M664" s="37"/>
    </row>
    <row r="665">
      <c r="M665" s="37"/>
    </row>
    <row r="666">
      <c r="M666" s="37"/>
    </row>
    <row r="667">
      <c r="M667" s="37"/>
    </row>
    <row r="668">
      <c r="M668" s="37"/>
    </row>
    <row r="669">
      <c r="M669" s="37"/>
    </row>
    <row r="670">
      <c r="M670" s="37"/>
    </row>
    <row r="671">
      <c r="M671" s="37"/>
    </row>
    <row r="672">
      <c r="M672" s="37"/>
    </row>
    <row r="673">
      <c r="M673" s="37"/>
    </row>
    <row r="674">
      <c r="M674" s="37"/>
    </row>
    <row r="675">
      <c r="M675" s="37"/>
    </row>
    <row r="676">
      <c r="M676" s="37"/>
    </row>
    <row r="677">
      <c r="M677" s="37"/>
    </row>
    <row r="678">
      <c r="M678" s="37"/>
    </row>
    <row r="679">
      <c r="M679" s="37"/>
    </row>
    <row r="680">
      <c r="M680" s="37"/>
    </row>
    <row r="681">
      <c r="M681" s="37"/>
    </row>
    <row r="682">
      <c r="M682" s="37"/>
    </row>
    <row r="683">
      <c r="M683" s="37"/>
    </row>
    <row r="684">
      <c r="M684" s="37"/>
    </row>
    <row r="685">
      <c r="M685" s="37"/>
    </row>
    <row r="686">
      <c r="M686" s="37"/>
    </row>
    <row r="687">
      <c r="M687" s="37"/>
    </row>
    <row r="688">
      <c r="M688" s="37"/>
    </row>
    <row r="689">
      <c r="M689" s="37"/>
    </row>
    <row r="690">
      <c r="M690" s="37"/>
    </row>
    <row r="691">
      <c r="M691" s="37"/>
    </row>
    <row r="692">
      <c r="M692" s="37"/>
    </row>
    <row r="693">
      <c r="M693" s="37"/>
    </row>
    <row r="694">
      <c r="M694" s="37"/>
    </row>
    <row r="695">
      <c r="M695" s="37"/>
    </row>
    <row r="696">
      <c r="M696" s="37"/>
    </row>
    <row r="697">
      <c r="M697" s="37"/>
    </row>
    <row r="698">
      <c r="M698" s="37"/>
    </row>
    <row r="699">
      <c r="M699" s="37"/>
    </row>
    <row r="700">
      <c r="M700" s="37"/>
    </row>
    <row r="701">
      <c r="M701" s="37"/>
    </row>
    <row r="702">
      <c r="M702" s="37"/>
    </row>
    <row r="703">
      <c r="M703" s="37"/>
    </row>
    <row r="704">
      <c r="M704" s="37"/>
    </row>
    <row r="705">
      <c r="M705" s="37"/>
    </row>
    <row r="706">
      <c r="M706" s="37"/>
    </row>
    <row r="707">
      <c r="M707" s="37"/>
    </row>
    <row r="708">
      <c r="M708" s="37"/>
    </row>
    <row r="709">
      <c r="M709" s="37"/>
    </row>
    <row r="710">
      <c r="M710" s="37"/>
    </row>
    <row r="711">
      <c r="M711" s="37"/>
    </row>
    <row r="712">
      <c r="M712" s="37"/>
    </row>
    <row r="713">
      <c r="M713" s="37"/>
    </row>
    <row r="714">
      <c r="M714" s="37"/>
    </row>
    <row r="715">
      <c r="M715" s="37"/>
    </row>
    <row r="716">
      <c r="M716" s="37"/>
    </row>
    <row r="717">
      <c r="M717" s="37"/>
    </row>
    <row r="718">
      <c r="M718" s="37"/>
    </row>
    <row r="719">
      <c r="M719" s="37"/>
    </row>
    <row r="720">
      <c r="M720" s="37"/>
    </row>
    <row r="721">
      <c r="M721" s="37"/>
    </row>
    <row r="722">
      <c r="M722" s="37"/>
    </row>
    <row r="723">
      <c r="M723" s="37"/>
    </row>
    <row r="724">
      <c r="M724" s="37"/>
    </row>
    <row r="725">
      <c r="M725" s="37"/>
    </row>
    <row r="726">
      <c r="M726" s="37"/>
    </row>
    <row r="727">
      <c r="M727" s="37"/>
    </row>
    <row r="728">
      <c r="M728" s="37"/>
    </row>
    <row r="729">
      <c r="M729" s="37"/>
    </row>
    <row r="730">
      <c r="M730" s="37"/>
    </row>
    <row r="731">
      <c r="M731" s="37"/>
    </row>
    <row r="732">
      <c r="M732" s="37"/>
    </row>
    <row r="733">
      <c r="M733" s="37"/>
    </row>
    <row r="734">
      <c r="M734" s="37"/>
    </row>
    <row r="735">
      <c r="M735" s="37"/>
    </row>
    <row r="736">
      <c r="M736" s="37"/>
    </row>
    <row r="737">
      <c r="M737" s="37"/>
    </row>
    <row r="738">
      <c r="M738" s="37"/>
    </row>
    <row r="739">
      <c r="M739" s="37"/>
    </row>
    <row r="740">
      <c r="M740" s="37"/>
    </row>
    <row r="741">
      <c r="M741" s="37"/>
    </row>
    <row r="742">
      <c r="M742" s="37"/>
    </row>
    <row r="743">
      <c r="M743" s="37"/>
    </row>
    <row r="744">
      <c r="M744" s="37"/>
    </row>
    <row r="745">
      <c r="M745" s="37"/>
    </row>
    <row r="746">
      <c r="M746" s="37"/>
    </row>
    <row r="747">
      <c r="M747" s="37"/>
    </row>
    <row r="748">
      <c r="M748" s="37"/>
    </row>
    <row r="749">
      <c r="M749" s="37"/>
    </row>
    <row r="750">
      <c r="M750" s="37"/>
    </row>
    <row r="751">
      <c r="M751" s="37"/>
    </row>
    <row r="752">
      <c r="M752" s="37"/>
    </row>
    <row r="753">
      <c r="M753" s="37"/>
    </row>
    <row r="754">
      <c r="M754" s="37"/>
    </row>
    <row r="755">
      <c r="M755" s="37"/>
    </row>
    <row r="756">
      <c r="M756" s="37"/>
    </row>
    <row r="757">
      <c r="M757" s="37"/>
    </row>
    <row r="758">
      <c r="M758" s="37"/>
    </row>
    <row r="759">
      <c r="M759" s="37"/>
    </row>
    <row r="760">
      <c r="M760" s="37"/>
    </row>
    <row r="761">
      <c r="M761" s="37"/>
    </row>
    <row r="762">
      <c r="M762" s="37"/>
    </row>
    <row r="763">
      <c r="M763" s="37"/>
    </row>
    <row r="764">
      <c r="M764" s="37"/>
    </row>
    <row r="765">
      <c r="M765" s="37"/>
    </row>
    <row r="766">
      <c r="M766" s="37"/>
    </row>
    <row r="767">
      <c r="M767" s="37"/>
    </row>
    <row r="768">
      <c r="M768" s="37"/>
    </row>
    <row r="769">
      <c r="M769" s="37"/>
    </row>
    <row r="770">
      <c r="M770" s="37"/>
    </row>
    <row r="771">
      <c r="M771" s="37"/>
    </row>
    <row r="772">
      <c r="M772" s="37"/>
    </row>
    <row r="773">
      <c r="M773" s="37"/>
    </row>
    <row r="774">
      <c r="M774" s="37"/>
    </row>
    <row r="775">
      <c r="M775" s="37"/>
    </row>
    <row r="776">
      <c r="M776" s="37"/>
    </row>
    <row r="777">
      <c r="M777" s="37"/>
    </row>
    <row r="778">
      <c r="M778" s="37"/>
    </row>
    <row r="779">
      <c r="M779" s="37"/>
    </row>
    <row r="780">
      <c r="M780" s="37"/>
    </row>
    <row r="781">
      <c r="M781" s="37"/>
    </row>
    <row r="782">
      <c r="M782" s="37"/>
    </row>
    <row r="783">
      <c r="M783" s="37"/>
    </row>
    <row r="784">
      <c r="M784" s="37"/>
    </row>
    <row r="785">
      <c r="M785" s="37"/>
    </row>
    <row r="786">
      <c r="M786" s="37"/>
    </row>
    <row r="787">
      <c r="M787" s="37"/>
    </row>
    <row r="788">
      <c r="M788" s="37"/>
    </row>
    <row r="789">
      <c r="M789" s="37"/>
    </row>
    <row r="790">
      <c r="M790" s="37"/>
    </row>
    <row r="791">
      <c r="M791" s="37"/>
    </row>
    <row r="792">
      <c r="M792" s="37"/>
    </row>
    <row r="793">
      <c r="M793" s="37"/>
    </row>
    <row r="794">
      <c r="M794" s="37"/>
    </row>
    <row r="795">
      <c r="M795" s="37"/>
    </row>
    <row r="796">
      <c r="M796" s="37"/>
    </row>
    <row r="797">
      <c r="M797" s="37"/>
    </row>
    <row r="798">
      <c r="M798" s="37"/>
    </row>
    <row r="799">
      <c r="M799" s="37"/>
    </row>
    <row r="800">
      <c r="M800" s="37"/>
    </row>
    <row r="801">
      <c r="M801" s="37"/>
    </row>
    <row r="802">
      <c r="M802" s="37"/>
    </row>
    <row r="803">
      <c r="M803" s="37"/>
    </row>
    <row r="804">
      <c r="M804" s="37"/>
    </row>
    <row r="805">
      <c r="M805" s="37"/>
    </row>
    <row r="806">
      <c r="M806" s="37"/>
    </row>
    <row r="807">
      <c r="M807" s="37"/>
    </row>
    <row r="808">
      <c r="M808" s="37"/>
    </row>
    <row r="809">
      <c r="M809" s="37"/>
    </row>
    <row r="810">
      <c r="M810" s="37"/>
    </row>
    <row r="811">
      <c r="M811" s="37"/>
    </row>
    <row r="812">
      <c r="M812" s="37"/>
    </row>
    <row r="813">
      <c r="M813" s="37"/>
    </row>
    <row r="814">
      <c r="M814" s="37"/>
    </row>
    <row r="815">
      <c r="M815" s="37"/>
    </row>
    <row r="816">
      <c r="M816" s="37"/>
    </row>
    <row r="817">
      <c r="M817" s="37"/>
    </row>
    <row r="818">
      <c r="M818" s="37"/>
    </row>
    <row r="819">
      <c r="M819" s="37"/>
    </row>
    <row r="820">
      <c r="M820" s="37"/>
    </row>
    <row r="821">
      <c r="M821" s="37"/>
    </row>
    <row r="822">
      <c r="M822" s="37"/>
    </row>
    <row r="823">
      <c r="M823" s="37"/>
    </row>
    <row r="824">
      <c r="M824" s="37"/>
    </row>
    <row r="825">
      <c r="M825" s="37"/>
    </row>
    <row r="826">
      <c r="M826" s="37"/>
    </row>
    <row r="827">
      <c r="M827" s="37"/>
    </row>
    <row r="828">
      <c r="M828" s="37"/>
    </row>
    <row r="829">
      <c r="M829" s="37"/>
    </row>
    <row r="830">
      <c r="M830" s="37"/>
    </row>
    <row r="831">
      <c r="M831" s="37"/>
    </row>
    <row r="832">
      <c r="M832" s="37"/>
    </row>
    <row r="833">
      <c r="M833" s="37"/>
    </row>
    <row r="834">
      <c r="M834" s="37"/>
    </row>
    <row r="835">
      <c r="M835" s="37"/>
    </row>
    <row r="836">
      <c r="M836" s="37"/>
    </row>
    <row r="837">
      <c r="M837" s="37"/>
    </row>
    <row r="838">
      <c r="M838" s="37"/>
    </row>
    <row r="839">
      <c r="M839" s="37"/>
    </row>
    <row r="840">
      <c r="M840" s="37"/>
    </row>
    <row r="841">
      <c r="M841" s="37"/>
    </row>
    <row r="842">
      <c r="M842" s="37"/>
    </row>
    <row r="843">
      <c r="M843" s="37"/>
    </row>
    <row r="844">
      <c r="M844" s="37"/>
    </row>
    <row r="845">
      <c r="M845" s="37"/>
    </row>
    <row r="846">
      <c r="M846" s="37"/>
    </row>
    <row r="847">
      <c r="M847" s="37"/>
    </row>
    <row r="848">
      <c r="M848" s="37"/>
    </row>
    <row r="849">
      <c r="M849" s="37"/>
    </row>
    <row r="850">
      <c r="M850" s="37"/>
    </row>
    <row r="851">
      <c r="M851" s="37"/>
    </row>
    <row r="852">
      <c r="M852" s="37"/>
    </row>
    <row r="853">
      <c r="M853" s="37"/>
    </row>
    <row r="854">
      <c r="M854" s="37"/>
    </row>
    <row r="855">
      <c r="M855" s="37"/>
    </row>
    <row r="856">
      <c r="M856" s="37"/>
    </row>
    <row r="857">
      <c r="M857" s="37"/>
    </row>
    <row r="858">
      <c r="M858" s="37"/>
    </row>
    <row r="859">
      <c r="M859" s="37"/>
    </row>
    <row r="860">
      <c r="M860" s="37"/>
    </row>
    <row r="861">
      <c r="M861" s="37"/>
    </row>
    <row r="862">
      <c r="M862" s="37"/>
    </row>
    <row r="863">
      <c r="M863" s="37"/>
    </row>
    <row r="864">
      <c r="M864" s="37"/>
    </row>
    <row r="865">
      <c r="M865" s="37"/>
    </row>
    <row r="866">
      <c r="M866" s="37"/>
    </row>
    <row r="867">
      <c r="M867" s="37"/>
    </row>
    <row r="868">
      <c r="M868" s="37"/>
    </row>
    <row r="869">
      <c r="M869" s="37"/>
    </row>
    <row r="870">
      <c r="M870" s="37"/>
    </row>
    <row r="871">
      <c r="M871" s="37"/>
    </row>
    <row r="872">
      <c r="M872" s="37"/>
    </row>
    <row r="873">
      <c r="M873" s="37"/>
    </row>
    <row r="874">
      <c r="M874" s="37"/>
    </row>
    <row r="875">
      <c r="M875" s="37"/>
    </row>
    <row r="876">
      <c r="M876" s="37"/>
    </row>
    <row r="877">
      <c r="M877" s="37"/>
    </row>
    <row r="878">
      <c r="M878" s="37"/>
    </row>
    <row r="879">
      <c r="M879" s="37"/>
    </row>
    <row r="880">
      <c r="M880" s="37"/>
    </row>
    <row r="881">
      <c r="M881" s="37"/>
    </row>
    <row r="882">
      <c r="M882" s="37"/>
    </row>
    <row r="883">
      <c r="M883" s="37"/>
    </row>
    <row r="884">
      <c r="M884" s="37"/>
    </row>
    <row r="885">
      <c r="M885" s="37"/>
    </row>
    <row r="886">
      <c r="M886" s="37"/>
    </row>
    <row r="887">
      <c r="M887" s="37"/>
    </row>
    <row r="888">
      <c r="M888" s="37"/>
    </row>
    <row r="889">
      <c r="M889" s="37"/>
    </row>
    <row r="890">
      <c r="M890" s="37"/>
    </row>
    <row r="891">
      <c r="M891" s="37"/>
    </row>
    <row r="892">
      <c r="M892" s="37"/>
    </row>
    <row r="893">
      <c r="M893" s="37"/>
    </row>
    <row r="894">
      <c r="M894" s="37"/>
    </row>
    <row r="895">
      <c r="M895" s="37"/>
    </row>
    <row r="896">
      <c r="M896" s="37"/>
    </row>
    <row r="897">
      <c r="M897" s="37"/>
    </row>
    <row r="898">
      <c r="M898" s="37"/>
    </row>
    <row r="899">
      <c r="M899" s="37"/>
    </row>
    <row r="900">
      <c r="M900" s="37"/>
    </row>
    <row r="901">
      <c r="M901" s="37"/>
    </row>
    <row r="902">
      <c r="M902" s="37"/>
    </row>
    <row r="903">
      <c r="M903" s="37"/>
    </row>
    <row r="904">
      <c r="M904" s="37"/>
    </row>
    <row r="905">
      <c r="M905" s="37"/>
    </row>
    <row r="906">
      <c r="M906" s="37"/>
    </row>
    <row r="907">
      <c r="M907" s="37"/>
    </row>
    <row r="908">
      <c r="M908" s="37"/>
    </row>
    <row r="909">
      <c r="M909" s="37"/>
    </row>
    <row r="910">
      <c r="M910" s="37"/>
    </row>
    <row r="911">
      <c r="M911" s="37"/>
    </row>
    <row r="912">
      <c r="M912" s="37"/>
    </row>
    <row r="913">
      <c r="M913" s="37"/>
    </row>
    <row r="914">
      <c r="M914" s="37"/>
    </row>
    <row r="915">
      <c r="M915" s="37"/>
    </row>
    <row r="916">
      <c r="M916" s="37"/>
    </row>
    <row r="917">
      <c r="M917" s="37"/>
    </row>
    <row r="918">
      <c r="M918" s="37"/>
    </row>
    <row r="919">
      <c r="M919" s="37"/>
    </row>
    <row r="920">
      <c r="M920" s="37"/>
    </row>
    <row r="921">
      <c r="M921" s="37"/>
    </row>
    <row r="922">
      <c r="M922" s="37"/>
    </row>
    <row r="923">
      <c r="M923" s="37"/>
    </row>
    <row r="924">
      <c r="M924" s="37"/>
    </row>
    <row r="925">
      <c r="M925" s="37"/>
    </row>
    <row r="926">
      <c r="M926" s="37"/>
    </row>
    <row r="927">
      <c r="M927" s="37"/>
    </row>
    <row r="928">
      <c r="M928" s="37"/>
    </row>
    <row r="929">
      <c r="M929" s="37"/>
    </row>
    <row r="930">
      <c r="M930" s="37"/>
    </row>
    <row r="931">
      <c r="M931" s="37"/>
    </row>
    <row r="932">
      <c r="M932" s="37"/>
    </row>
    <row r="933">
      <c r="M933" s="37"/>
    </row>
    <row r="934">
      <c r="M934" s="37"/>
    </row>
    <row r="935">
      <c r="M935" s="37"/>
    </row>
    <row r="936">
      <c r="M936" s="37"/>
    </row>
    <row r="937">
      <c r="M937" s="37"/>
    </row>
    <row r="938">
      <c r="M938" s="37"/>
    </row>
    <row r="939">
      <c r="M939" s="37"/>
    </row>
    <row r="940">
      <c r="M940" s="37"/>
    </row>
    <row r="941">
      <c r="M941" s="37"/>
    </row>
    <row r="942">
      <c r="M942" s="37"/>
    </row>
    <row r="943">
      <c r="M943" s="37"/>
    </row>
    <row r="944">
      <c r="M944" s="37"/>
    </row>
    <row r="945">
      <c r="M945" s="37"/>
    </row>
    <row r="946">
      <c r="M946" s="37"/>
    </row>
    <row r="947">
      <c r="M947" s="37"/>
    </row>
    <row r="948">
      <c r="M948" s="37"/>
    </row>
    <row r="949">
      <c r="M949" s="37"/>
    </row>
    <row r="950">
      <c r="M950" s="37"/>
    </row>
    <row r="951">
      <c r="M951" s="37"/>
    </row>
    <row r="952">
      <c r="M952" s="37"/>
    </row>
    <row r="953">
      <c r="M953" s="37"/>
    </row>
    <row r="954">
      <c r="M954" s="37"/>
    </row>
    <row r="955">
      <c r="M955" s="37"/>
    </row>
    <row r="956">
      <c r="M956" s="37"/>
    </row>
    <row r="957">
      <c r="M957" s="37"/>
    </row>
    <row r="958">
      <c r="M958" s="37"/>
    </row>
    <row r="959">
      <c r="M959" s="37"/>
    </row>
    <row r="960">
      <c r="M960" s="37"/>
    </row>
    <row r="961">
      <c r="M961" s="37"/>
    </row>
    <row r="962">
      <c r="M962" s="37"/>
    </row>
    <row r="963">
      <c r="M963" s="37"/>
    </row>
    <row r="964">
      <c r="M964" s="37"/>
    </row>
    <row r="965">
      <c r="M965" s="37"/>
    </row>
    <row r="966">
      <c r="M966" s="37"/>
    </row>
    <row r="967">
      <c r="M967" s="37"/>
    </row>
    <row r="968">
      <c r="M968" s="37"/>
    </row>
    <row r="969">
      <c r="M969" s="37"/>
    </row>
    <row r="970">
      <c r="M970" s="37"/>
    </row>
    <row r="971">
      <c r="M971" s="37"/>
    </row>
    <row r="972">
      <c r="M972" s="37"/>
    </row>
    <row r="973">
      <c r="M973" s="37"/>
    </row>
    <row r="974">
      <c r="M974" s="37"/>
    </row>
    <row r="975">
      <c r="M975" s="37"/>
    </row>
    <row r="976">
      <c r="M976" s="37"/>
    </row>
    <row r="977">
      <c r="M977" s="37"/>
    </row>
    <row r="978">
      <c r="M978" s="37"/>
    </row>
    <row r="979">
      <c r="M979" s="37"/>
    </row>
    <row r="980">
      <c r="M980" s="37"/>
    </row>
    <row r="981">
      <c r="M981" s="37"/>
    </row>
    <row r="982">
      <c r="M982" s="37"/>
    </row>
    <row r="983">
      <c r="M983" s="37"/>
    </row>
    <row r="984">
      <c r="M984" s="37"/>
    </row>
    <row r="985">
      <c r="M985" s="37"/>
    </row>
    <row r="986">
      <c r="M986" s="37"/>
    </row>
    <row r="987">
      <c r="M987" s="37"/>
    </row>
    <row r="988">
      <c r="M988" s="37"/>
    </row>
    <row r="989">
      <c r="M989" s="37"/>
    </row>
    <row r="990">
      <c r="M990" s="37"/>
    </row>
    <row r="991">
      <c r="M991" s="37"/>
    </row>
    <row r="992">
      <c r="M992" s="37"/>
    </row>
    <row r="993">
      <c r="M993" s="37"/>
    </row>
    <row r="994">
      <c r="M994" s="37"/>
    </row>
    <row r="995">
      <c r="M995" s="37"/>
    </row>
    <row r="996">
      <c r="M996" s="37"/>
    </row>
    <row r="997">
      <c r="M997" s="37"/>
    </row>
    <row r="998">
      <c r="M998" s="37"/>
    </row>
    <row r="999">
      <c r="M999" s="37"/>
    </row>
    <row r="1000">
      <c r="M1000" s="37"/>
    </row>
  </sheetData>
  <autoFilter ref="$A$1:$W$106">
    <filterColumn colId="22">
      <filters>
        <filter val="-123.22%"/>
        <filter val="-212.62%"/>
        <filter val="-30.18%"/>
        <filter val="-9.97%"/>
        <filter val="-127.12%"/>
        <filter val="-49.58%"/>
        <filter val="-59.95%"/>
        <filter val="-116.03%"/>
        <filter val="-190.42%"/>
        <filter val="-351.78%"/>
        <filter val="-37.88%"/>
        <filter val="-88.96%"/>
        <filter val="-96.05%"/>
        <filter val="2.71%"/>
        <filter val="-143.52%"/>
        <filter val="-74.11%"/>
        <filter val="-82.39%"/>
        <filter val="-367.88%"/>
        <filter val="#N/A"/>
        <filter val="-87.71%"/>
        <filter val="5.42%"/>
        <filter val="-202.70%"/>
        <filter val="-412.58%"/>
        <filter val="-130.57%"/>
        <filter val="-406.58%"/>
        <filter val="-118.39%"/>
        <filter val="-210.37%"/>
        <filter val="-86.44%"/>
        <filter val="-202.99%"/>
        <filter val="-34.10%"/>
        <filter val="-186.17%"/>
        <filter val="-17.66%"/>
        <filter val="-43.56%"/>
        <filter val="-4.53%"/>
        <filter val="-245.19%"/>
        <filter val="-43.96%"/>
        <filter val="-560.80%"/>
        <filter val="4.31%"/>
        <filter val="-110.74%"/>
        <filter val="-199.83%"/>
        <filter val="-119.26%"/>
        <filter val="-233.54%"/>
        <filter val="-33.89%"/>
        <filter val="-79.10%"/>
        <filter val="-112.39%"/>
        <filter val="-34.05%"/>
        <filter val="-178.02%"/>
        <filter val="-0.48%"/>
        <filter val="-176.01%"/>
        <filter val="-283.30%"/>
        <filter val="-108.20%"/>
        <filter val="-193.13%"/>
        <filter val="-138.70%"/>
        <filter val="-17.80%"/>
        <filter val="-231.22%"/>
        <filter val="-191.03%"/>
        <filter val="-35.59%"/>
        <filter val="-333.12%"/>
        <filter val="-25.10%"/>
        <filter val="-19.15%"/>
        <filter val="-9.64%"/>
        <filter val="-187.99%"/>
        <filter val="-157.35%"/>
        <filter val="-73.27%"/>
        <filter val="-1781.00%"/>
        <filter val="-568.34%"/>
        <filter val="-213.54%"/>
        <filter val="-1272.25%"/>
        <filter val="-108.79%"/>
        <filter val="-22.08%"/>
        <filter val="-0.21%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5"/>
    <col customWidth="1" min="3" max="3" width="16.5"/>
    <col customWidth="1" min="9" max="9" width="15.88"/>
    <col customWidth="1" hidden="1" min="11" max="11" width="53.25"/>
    <col hidden="1" min="12" max="12" width="12.63"/>
  </cols>
  <sheetData>
    <row r="2">
      <c r="B2" s="38"/>
      <c r="C2" s="39" t="s">
        <v>234</v>
      </c>
      <c r="D2" s="39" t="s">
        <v>235</v>
      </c>
      <c r="E2" s="39" t="s">
        <v>236</v>
      </c>
      <c r="F2" s="38"/>
      <c r="G2" s="38"/>
      <c r="H2" s="38"/>
    </row>
    <row r="3">
      <c r="B3" s="40" t="s">
        <v>237</v>
      </c>
      <c r="C3" s="41" t="s">
        <v>238</v>
      </c>
      <c r="D3" s="41">
        <v>99613.0</v>
      </c>
      <c r="E3" s="41" t="s">
        <v>239</v>
      </c>
      <c r="F3" s="42">
        <f t="shared" ref="F3:F11" si="1">SUM(C3:E3)</f>
        <v>99613</v>
      </c>
      <c r="G3" s="38"/>
      <c r="H3" s="38"/>
    </row>
    <row r="4">
      <c r="B4" s="40" t="s">
        <v>240</v>
      </c>
      <c r="C4" s="41">
        <v>8869.0</v>
      </c>
      <c r="D4" s="41">
        <v>13524.0</v>
      </c>
      <c r="E4" s="41">
        <v>25774.0</v>
      </c>
      <c r="F4" s="42">
        <f t="shared" si="1"/>
        <v>48167</v>
      </c>
      <c r="G4" s="42">
        <f>F3-F4</f>
        <v>51446</v>
      </c>
      <c r="H4" s="43">
        <f>G4/$C$14</f>
        <v>10.47566687</v>
      </c>
    </row>
    <row r="5">
      <c r="B5" s="40" t="s">
        <v>241</v>
      </c>
      <c r="C5" s="41">
        <v>8283.0</v>
      </c>
      <c r="D5" s="41">
        <v>3966.0</v>
      </c>
      <c r="E5" s="41">
        <v>11097.0</v>
      </c>
      <c r="F5" s="42">
        <f t="shared" si="1"/>
        <v>23346</v>
      </c>
      <c r="G5" s="38"/>
      <c r="H5" s="43">
        <f t="shared" ref="H5:H8" si="2">F5/$C$14</f>
        <v>4.75381796</v>
      </c>
    </row>
    <row r="6">
      <c r="B6" s="40" t="s">
        <v>6</v>
      </c>
      <c r="C6" s="41">
        <v>117671.0</v>
      </c>
      <c r="D6" s="41">
        <v>151369.0</v>
      </c>
      <c r="E6" s="41">
        <v>151614.0</v>
      </c>
      <c r="F6" s="42">
        <f t="shared" si="1"/>
        <v>420654</v>
      </c>
      <c r="G6" s="38"/>
      <c r="H6" s="43">
        <f t="shared" si="2"/>
        <v>85.65546732</v>
      </c>
    </row>
    <row r="7">
      <c r="B7" s="40" t="s">
        <v>242</v>
      </c>
      <c r="C7" s="41">
        <v>10612.0</v>
      </c>
      <c r="D7" s="41">
        <v>14239.0</v>
      </c>
      <c r="E7" s="41">
        <v>12100.0</v>
      </c>
      <c r="F7" s="42">
        <f t="shared" si="1"/>
        <v>36951</v>
      </c>
      <c r="G7" s="38"/>
      <c r="H7" s="43">
        <f t="shared" si="2"/>
        <v>7.524129505</v>
      </c>
    </row>
    <row r="8">
      <c r="B8" s="40" t="s">
        <v>13</v>
      </c>
      <c r="C8" s="41">
        <v>10073.0</v>
      </c>
      <c r="D8" s="41">
        <v>5605.0</v>
      </c>
      <c r="E8" s="41">
        <v>6697.0</v>
      </c>
      <c r="F8" s="42">
        <f t="shared" si="1"/>
        <v>22375</v>
      </c>
      <c r="G8" s="38"/>
      <c r="H8" s="43">
        <f t="shared" si="2"/>
        <v>4.556098554</v>
      </c>
    </row>
    <row r="9">
      <c r="B9" s="40" t="s">
        <v>243</v>
      </c>
      <c r="C9" s="44">
        <v>234.0</v>
      </c>
      <c r="D9" s="44">
        <v>191.0</v>
      </c>
      <c r="E9" s="45">
        <v>263.0</v>
      </c>
      <c r="F9" s="43">
        <f t="shared" si="1"/>
        <v>688</v>
      </c>
      <c r="G9" s="38"/>
      <c r="H9" s="38"/>
    </row>
    <row r="10">
      <c r="B10" s="40" t="s">
        <v>244</v>
      </c>
      <c r="C10" s="46">
        <v>352262.0</v>
      </c>
      <c r="D10" s="47">
        <v>610707.0</v>
      </c>
      <c r="E10" s="47">
        <v>561939.0</v>
      </c>
      <c r="F10" s="48">
        <f t="shared" si="1"/>
        <v>1524908</v>
      </c>
      <c r="G10" s="38"/>
      <c r="H10" s="38"/>
    </row>
    <row r="11">
      <c r="B11" s="40" t="s">
        <v>245</v>
      </c>
      <c r="C11" s="49">
        <v>30000.0</v>
      </c>
      <c r="D11" s="49">
        <v>15000.0</v>
      </c>
      <c r="E11" s="49">
        <v>0.0</v>
      </c>
      <c r="F11" s="43">
        <f t="shared" si="1"/>
        <v>45000</v>
      </c>
      <c r="G11" s="38"/>
      <c r="H11" s="38"/>
    </row>
    <row r="12">
      <c r="B12" s="40" t="s">
        <v>246</v>
      </c>
      <c r="C12" s="38"/>
      <c r="D12" s="38"/>
      <c r="E12" s="38"/>
      <c r="F12" s="42">
        <f>SUM(F3:F11)</f>
        <v>2221702</v>
      </c>
      <c r="G12" s="38"/>
      <c r="H12" s="38"/>
    </row>
    <row r="13">
      <c r="B13" s="40" t="s">
        <v>247</v>
      </c>
      <c r="C13" s="43">
        <f>F12/SUM(D21:D141)</f>
        <v>33.97669333</v>
      </c>
      <c r="D13" s="38"/>
      <c r="E13" s="38"/>
      <c r="F13" s="38"/>
      <c r="G13" s="38"/>
      <c r="H13" s="38">
        <f>F12/C14</f>
        <v>452.3929953</v>
      </c>
    </row>
    <row r="14">
      <c r="B14" s="50" t="s">
        <v>248</v>
      </c>
      <c r="C14" s="43">
        <f>SUM(F21:F135)</f>
        <v>4911</v>
      </c>
      <c r="D14" s="38"/>
      <c r="E14" s="38"/>
      <c r="F14" s="38"/>
      <c r="G14" s="38"/>
      <c r="H14" s="38"/>
    </row>
    <row r="15">
      <c r="B15" s="40" t="s">
        <v>249</v>
      </c>
      <c r="C15" s="43">
        <f>SUM(D21:D141)</f>
        <v>65389</v>
      </c>
      <c r="D15" s="38"/>
      <c r="E15" s="38"/>
      <c r="F15" s="38"/>
      <c r="G15" s="38"/>
      <c r="H15" s="38"/>
    </row>
    <row r="16">
      <c r="B16" s="38"/>
      <c r="C16" s="38"/>
      <c r="D16" s="38"/>
      <c r="E16" s="38"/>
      <c r="F16" s="38"/>
      <c r="G16" s="38"/>
      <c r="H16" s="38"/>
    </row>
    <row r="17">
      <c r="B17" s="38"/>
      <c r="C17" s="38"/>
      <c r="D17" s="38"/>
      <c r="E17" s="38"/>
      <c r="F17" s="38"/>
      <c r="G17" s="38"/>
      <c r="H17" s="38"/>
    </row>
    <row r="18">
      <c r="B18" s="38"/>
      <c r="C18" s="38"/>
      <c r="D18" s="38"/>
      <c r="E18" s="38"/>
      <c r="F18" s="38"/>
      <c r="G18" s="38"/>
      <c r="H18" s="38"/>
    </row>
    <row r="19">
      <c r="B19" s="38"/>
      <c r="C19" s="38"/>
      <c r="D19" s="38"/>
      <c r="E19" s="38"/>
      <c r="F19" s="38"/>
      <c r="G19" s="38"/>
      <c r="H19" s="38"/>
    </row>
    <row r="20">
      <c r="B20" s="51" t="s">
        <v>250</v>
      </c>
      <c r="C20" s="51" t="s">
        <v>251</v>
      </c>
      <c r="D20" s="51" t="s">
        <v>252</v>
      </c>
      <c r="E20" s="51" t="s">
        <v>253</v>
      </c>
      <c r="F20" s="51" t="s">
        <v>16</v>
      </c>
      <c r="G20" s="51" t="s">
        <v>254</v>
      </c>
      <c r="H20" s="51" t="s">
        <v>255</v>
      </c>
      <c r="I20" s="51" t="s">
        <v>256</v>
      </c>
      <c r="J20" s="51" t="s">
        <v>15</v>
      </c>
      <c r="K20" s="52" t="s">
        <v>250</v>
      </c>
      <c r="L20" s="52" t="s">
        <v>251</v>
      </c>
      <c r="M20" s="29" t="s">
        <v>257</v>
      </c>
    </row>
    <row r="21">
      <c r="B21" s="38" t="s">
        <v>23</v>
      </c>
      <c r="C21" s="11" t="str">
        <f t="shared" ref="C21:C23" si="3">IFERROR(VLOOKUP(B21,K:L,2,0),"NA")</f>
        <v>magic paint dust</v>
      </c>
      <c r="D21" s="11">
        <f t="array" ref="D21">XLOOKUP(B21,'Google analytics'!A:A,'Google analytics'!F:F)</f>
        <v>7147</v>
      </c>
      <c r="E21" s="43">
        <f t="shared" ref="E21:E135" si="4">D21*$C$13</f>
        <v>242831.4272</v>
      </c>
      <c r="F21" s="43">
        <f t="array" ref="F21">XLOOKUP(B21,'Data Analytics rawData'!A:A,'Data Analytics rawData'!D:D)</f>
        <v>221</v>
      </c>
      <c r="G21" s="18">
        <f t="array" ref="G21">XLOOKUP(B21,'Data Analytics rawData'!A:A,'Data Analytics rawData'!E:E)</f>
        <v>192043.9998</v>
      </c>
      <c r="H21" s="43">
        <f t="array" ref="H21">XLOOKUP(B21,'Data Analytics rawData'!A:A,'Data Analytics rawData'!B:B)</f>
        <v>7870</v>
      </c>
      <c r="I21" s="43">
        <f t="array" ref="I21">XLOOKUP(B21,'Data Analytics rawData'!A:A,'Data Analytics rawData'!C:C)</f>
        <v>781</v>
      </c>
      <c r="J21" s="43">
        <f t="shared" ref="J21:J135" si="5">E21/F21</f>
        <v>1098.784739</v>
      </c>
      <c r="K21" s="38" t="s">
        <v>26</v>
      </c>
      <c r="L21" s="53" t="s">
        <v>25</v>
      </c>
      <c r="M21" s="54">
        <f t="shared" ref="M21:M135" si="6">F21/D21</f>
        <v>0.0309220652</v>
      </c>
    </row>
    <row r="22">
      <c r="B22" s="27" t="s">
        <v>26</v>
      </c>
      <c r="C22" s="11" t="str">
        <f t="shared" si="3"/>
        <v>Playdough</v>
      </c>
      <c r="D22" s="11">
        <f t="array" ref="D22">XLOOKUP(B22,'Google analytics'!A:A,'Google analytics'!F:F)</f>
        <v>6541</v>
      </c>
      <c r="E22" s="43">
        <f t="shared" si="4"/>
        <v>222241.5511</v>
      </c>
      <c r="F22" s="43">
        <f t="array" ref="F22">XLOOKUP(B22,'Data Analytics rawData'!A:A,'Data Analytics rawData'!D:D)</f>
        <v>214</v>
      </c>
      <c r="G22" s="18">
        <f t="array" ref="G22">XLOOKUP(B22,'Data Analytics rawData'!A:A,'Data Analytics rawData'!E:E)</f>
        <v>190336.0018</v>
      </c>
      <c r="H22" s="43">
        <f t="array" ref="H22">XLOOKUP(B22,'Data Analytics rawData'!A:A,'Data Analytics rawData'!B:B)</f>
        <v>7039</v>
      </c>
      <c r="I22" s="43">
        <f t="array" ref="I22">XLOOKUP(B22,'Data Analytics rawData'!A:A,'Data Analytics rawData'!C:C)</f>
        <v>761</v>
      </c>
      <c r="J22" s="43">
        <f t="shared" si="5"/>
        <v>1038.511921</v>
      </c>
      <c r="K22" s="38" t="s">
        <v>23</v>
      </c>
      <c r="L22" s="53" t="s">
        <v>22</v>
      </c>
      <c r="M22" s="54">
        <f t="shared" si="6"/>
        <v>0.03271670998</v>
      </c>
    </row>
    <row r="23">
      <c r="B23" s="27" t="s">
        <v>28</v>
      </c>
      <c r="C23" s="11" t="str">
        <f t="shared" si="3"/>
        <v>FP8+CB</v>
      </c>
      <c r="D23" s="11">
        <f t="array" ref="D23">XLOOKUP(B23,'Google analytics'!A:A,'Google analytics'!F:F)</f>
        <v>2341</v>
      </c>
      <c r="E23" s="43">
        <f t="shared" si="4"/>
        <v>79539.43908</v>
      </c>
      <c r="F23" s="43">
        <f t="array" ref="F23">XLOOKUP(B23,'Data Analytics rawData'!A:A,'Data Analytics rawData'!D:D)</f>
        <v>122</v>
      </c>
      <c r="G23" s="18">
        <f t="array" ref="G23">XLOOKUP(B23,'Data Analytics rawData'!A:A,'Data Analytics rawData'!E:E)</f>
        <v>157680.9988</v>
      </c>
      <c r="H23" s="43">
        <f t="array" ref="H23">XLOOKUP(B23,'Data Analytics rawData'!A:A,'Data Analytics rawData'!B:B)</f>
        <v>2509</v>
      </c>
      <c r="I23" s="43">
        <f t="array" ref="I23">XLOOKUP(B23,'Data Analytics rawData'!A:A,'Data Analytics rawData'!C:C)</f>
        <v>408</v>
      </c>
      <c r="J23" s="43">
        <f t="shared" si="5"/>
        <v>651.9626154</v>
      </c>
      <c r="K23" s="38" t="s">
        <v>37</v>
      </c>
      <c r="L23" s="38" t="s">
        <v>36</v>
      </c>
      <c r="M23" s="54">
        <f t="shared" si="6"/>
        <v>0.05211448099</v>
      </c>
    </row>
    <row r="24">
      <c r="B24" s="27" t="s">
        <v>31</v>
      </c>
      <c r="C24" s="29" t="s">
        <v>30</v>
      </c>
      <c r="D24" s="11">
        <f t="array" ref="D24">XLOOKUP(B24,'Google analytics'!A:A,'Google analytics'!F:F)</f>
        <v>5252</v>
      </c>
      <c r="E24" s="43">
        <f t="shared" si="4"/>
        <v>178445.5934</v>
      </c>
      <c r="F24" s="43">
        <f t="array" ref="F24">XLOOKUP(B24,'Data Analytics rawData'!A:A,'Data Analytics rawData'!D:D)</f>
        <v>160</v>
      </c>
      <c r="G24" s="18">
        <f t="array" ref="G24">XLOOKUP(B24,'Data Analytics rawData'!A:A,'Data Analytics rawData'!E:E)</f>
        <v>113539.9991</v>
      </c>
      <c r="H24" s="43">
        <f t="array" ref="H24">XLOOKUP(B24,'Data Analytics rawData'!A:A,'Data Analytics rawData'!B:B)</f>
        <v>5707</v>
      </c>
      <c r="I24" s="43">
        <f t="array" ref="I24">XLOOKUP(B24,'Data Analytics rawData'!A:A,'Data Analytics rawData'!C:C)</f>
        <v>623</v>
      </c>
      <c r="J24" s="43">
        <f t="shared" si="5"/>
        <v>1115.284958</v>
      </c>
      <c r="K24" s="38" t="s">
        <v>28</v>
      </c>
      <c r="L24" s="53" t="s">
        <v>27</v>
      </c>
      <c r="M24" s="54">
        <f t="shared" si="6"/>
        <v>0.03046458492</v>
      </c>
    </row>
    <row r="25">
      <c r="B25" s="27" t="s">
        <v>33</v>
      </c>
      <c r="C25" s="11" t="str">
        <f>IFERROR(VLOOKUP(B25,K:L,2,0),"NA")</f>
        <v>SFP</v>
      </c>
      <c r="D25" s="11">
        <f t="array" ref="D25">XLOOKUP(B25,'Google analytics'!A:A,'Google analytics'!F:F)</f>
        <v>2316</v>
      </c>
      <c r="E25" s="43">
        <f t="shared" si="4"/>
        <v>78690.02175</v>
      </c>
      <c r="F25" s="43">
        <f t="array" ref="F25">XLOOKUP(B25,'Data Analytics rawData'!A:A,'Data Analytics rawData'!D:D)</f>
        <v>171</v>
      </c>
      <c r="G25" s="18">
        <f t="array" ref="G25">XLOOKUP(B25,'Data Analytics rawData'!A:A,'Data Analytics rawData'!E:E)</f>
        <v>101319.0012</v>
      </c>
      <c r="H25" s="43">
        <f t="array" ref="H25">XLOOKUP(B25,'Data Analytics rawData'!A:A,'Data Analytics rawData'!B:B)</f>
        <v>2356</v>
      </c>
      <c r="I25" s="43">
        <f t="array" ref="I25">XLOOKUP(B25,'Data Analytics rawData'!A:A,'Data Analytics rawData'!C:C)</f>
        <v>636</v>
      </c>
      <c r="J25" s="43">
        <f t="shared" si="5"/>
        <v>460.1755658</v>
      </c>
      <c r="K25" s="38" t="s">
        <v>258</v>
      </c>
      <c r="L25" s="38" t="s">
        <v>34</v>
      </c>
      <c r="M25" s="54">
        <f t="shared" si="6"/>
        <v>0.07383419689</v>
      </c>
    </row>
    <row r="26">
      <c r="B26" s="27" t="s">
        <v>35</v>
      </c>
      <c r="C26" s="38" t="s">
        <v>34</v>
      </c>
      <c r="D26" s="11">
        <f t="array" ref="D26">XLOOKUP(B26,'Google analytics'!A:A,'Google analytics'!F:F)</f>
        <v>1055</v>
      </c>
      <c r="E26" s="43">
        <f t="shared" si="4"/>
        <v>35845.41146</v>
      </c>
      <c r="F26" s="43">
        <f t="array" ref="F26">XLOOKUP(B26,'Data Analytics rawData'!A:A,'Data Analytics rawData'!D:D)</f>
        <v>75</v>
      </c>
      <c r="G26" s="18">
        <f t="array" ref="G26">XLOOKUP(B26,'Data Analytics rawData'!A:A,'Data Analytics rawData'!E:E)</f>
        <v>79281.00042</v>
      </c>
      <c r="H26" s="43">
        <f t="array" ref="H26">XLOOKUP(B26,'Data Analytics rawData'!A:A,'Data Analytics rawData'!B:B)</f>
        <v>1094</v>
      </c>
      <c r="I26" s="43">
        <f t="array" ref="I26">XLOOKUP(B26,'Data Analytics rawData'!A:A,'Data Analytics rawData'!C:C)</f>
        <v>221</v>
      </c>
      <c r="J26" s="43">
        <f t="shared" si="5"/>
        <v>477.9388195</v>
      </c>
      <c r="K26" s="38" t="s">
        <v>33</v>
      </c>
      <c r="L26" s="38" t="s">
        <v>32</v>
      </c>
      <c r="M26" s="54">
        <f t="shared" si="6"/>
        <v>0.07109004739</v>
      </c>
    </row>
    <row r="27">
      <c r="B27" s="27" t="s">
        <v>37</v>
      </c>
      <c r="C27" s="11" t="str">
        <f t="shared" ref="C27:C31" si="7">IFERROR(VLOOKUP(B27,K:L,2,0),"NA")</f>
        <v>B3</v>
      </c>
      <c r="D27" s="11">
        <f t="array" ref="D27">XLOOKUP(B27,'Google analytics'!A:A,'Google analytics'!F:F)</f>
        <v>3472</v>
      </c>
      <c r="E27" s="43">
        <f t="shared" si="4"/>
        <v>117967.0792</v>
      </c>
      <c r="F27" s="43">
        <f t="array" ref="F27">XLOOKUP(B27,'Data Analytics rawData'!A:A,'Data Analytics rawData'!D:D)</f>
        <v>129</v>
      </c>
      <c r="G27" s="18">
        <f t="array" ref="G27">XLOOKUP(B27,'Data Analytics rawData'!A:A,'Data Analytics rawData'!E:E)</f>
        <v>70820.99938</v>
      </c>
      <c r="H27" s="43">
        <f t="array" ref="H27">XLOOKUP(B27,'Data Analytics rawData'!A:A,'Data Analytics rawData'!B:B)</f>
        <v>3746</v>
      </c>
      <c r="I27" s="43">
        <f t="array" ref="I27">XLOOKUP(B27,'Data Analytics rawData'!A:A,'Data Analytics rawData'!C:C)</f>
        <v>458</v>
      </c>
      <c r="J27" s="43">
        <f t="shared" si="5"/>
        <v>914.4734824</v>
      </c>
      <c r="K27" s="38" t="s">
        <v>259</v>
      </c>
      <c r="L27" s="38" t="s">
        <v>47</v>
      </c>
      <c r="M27" s="54">
        <f t="shared" si="6"/>
        <v>0.03715437788</v>
      </c>
    </row>
    <row r="28">
      <c r="B28" s="27" t="s">
        <v>40</v>
      </c>
      <c r="C28" s="11" t="str">
        <f t="shared" si="7"/>
        <v>FP8, B8, CB</v>
      </c>
      <c r="D28" s="11">
        <f t="array" ref="D28">XLOOKUP(B28,'Google analytics'!A:A,'Google analytics'!F:F)</f>
        <v>1113</v>
      </c>
      <c r="E28" s="43">
        <f t="shared" si="4"/>
        <v>37816.05967</v>
      </c>
      <c r="F28" s="43">
        <f t="array" ref="F28">XLOOKUP(B28,'Data Analytics rawData'!A:A,'Data Analytics rawData'!D:D)</f>
        <v>47</v>
      </c>
      <c r="G28" s="18">
        <f t="array" ref="G28">XLOOKUP(B28,'Data Analytics rawData'!A:A,'Data Analytics rawData'!E:E)</f>
        <v>81477.0002</v>
      </c>
      <c r="H28" s="43">
        <f t="array" ref="H28">XLOOKUP(B28,'Data Analytics rawData'!A:A,'Data Analytics rawData'!B:B)</f>
        <v>1235</v>
      </c>
      <c r="I28" s="43">
        <f t="array" ref="I28">XLOOKUP(B28,'Data Analytics rawData'!A:A,'Data Analytics rawData'!C:C)</f>
        <v>158</v>
      </c>
      <c r="J28" s="43">
        <f t="shared" si="5"/>
        <v>804.5970143</v>
      </c>
      <c r="K28" s="38" t="s">
        <v>40</v>
      </c>
      <c r="L28" s="53" t="s">
        <v>39</v>
      </c>
      <c r="M28" s="54">
        <f t="shared" si="6"/>
        <v>0.04222821204</v>
      </c>
    </row>
    <row r="29">
      <c r="B29" s="27" t="s">
        <v>42</v>
      </c>
      <c r="C29" s="11" t="str">
        <f t="shared" si="7"/>
        <v>SFP+CB</v>
      </c>
      <c r="D29" s="11">
        <f t="array" ref="D29">XLOOKUP(B29,'Google analytics'!A:A,'Google analytics'!F:F)</f>
        <v>1333</v>
      </c>
      <c r="E29" s="43">
        <f t="shared" si="4"/>
        <v>45290.93221</v>
      </c>
      <c r="F29" s="43">
        <f t="array" ref="F29">XLOOKUP(B29,'Data Analytics rawData'!A:A,'Data Analytics rawData'!D:D)</f>
        <v>90</v>
      </c>
      <c r="G29" s="18">
        <f t="array" ref="G29">XLOOKUP(B29,'Data Analytics rawData'!A:A,'Data Analytics rawData'!E:E)</f>
        <v>90842.00009</v>
      </c>
      <c r="H29" s="43">
        <f t="array" ref="H29">XLOOKUP(B29,'Data Analytics rawData'!A:A,'Data Analytics rawData'!B:B)</f>
        <v>1383</v>
      </c>
      <c r="I29" s="43">
        <f t="array" ref="I29">XLOOKUP(B29,'Data Analytics rawData'!A:A,'Data Analytics rawData'!C:C)</f>
        <v>279</v>
      </c>
      <c r="J29" s="43">
        <f t="shared" si="5"/>
        <v>503.2325801</v>
      </c>
      <c r="K29" s="38" t="s">
        <v>42</v>
      </c>
      <c r="L29" s="38" t="s">
        <v>41</v>
      </c>
      <c r="M29" s="54">
        <f t="shared" si="6"/>
        <v>0.06751687922</v>
      </c>
    </row>
    <row r="30">
      <c r="B30" s="27" t="s">
        <v>44</v>
      </c>
      <c r="C30" s="11" t="str">
        <f t="shared" si="7"/>
        <v>FP3</v>
      </c>
      <c r="D30" s="11">
        <f t="array" ref="D30">XLOOKUP(B30,'Google analytics'!A:A,'Google analytics'!F:F)</f>
        <v>1422</v>
      </c>
      <c r="E30" s="43">
        <f t="shared" si="4"/>
        <v>48314.85791</v>
      </c>
      <c r="F30" s="43">
        <f t="array" ref="F30">XLOOKUP(B30,'Data Analytics rawData'!A:A,'Data Analytics rawData'!D:D)</f>
        <v>101</v>
      </c>
      <c r="G30" s="18">
        <f t="array" ref="G30">XLOOKUP(B30,'Data Analytics rawData'!A:A,'Data Analytics rawData'!E:E)</f>
        <v>63588.9999</v>
      </c>
      <c r="H30" s="43">
        <f t="array" ref="H30">XLOOKUP(B30,'Data Analytics rawData'!A:A,'Data Analytics rawData'!B:B)</f>
        <v>1426</v>
      </c>
      <c r="I30" s="43">
        <f t="array" ref="I30">XLOOKUP(B30,'Data Analytics rawData'!A:A,'Data Analytics rawData'!C:C)</f>
        <v>350</v>
      </c>
      <c r="J30" s="43">
        <f t="shared" si="5"/>
        <v>478.3649298</v>
      </c>
      <c r="K30" s="38" t="s">
        <v>62</v>
      </c>
      <c r="L30" s="53" t="s">
        <v>61</v>
      </c>
      <c r="M30" s="54">
        <f t="shared" si="6"/>
        <v>0.07102672293</v>
      </c>
    </row>
    <row r="31">
      <c r="B31" s="27" t="s">
        <v>46</v>
      </c>
      <c r="C31" s="11" t="str">
        <f t="shared" si="7"/>
        <v>AR</v>
      </c>
      <c r="D31" s="11">
        <f t="array" ref="D31">XLOOKUP(B31,'Google analytics'!A:A,'Google analytics'!F:F)</f>
        <v>718</v>
      </c>
      <c r="E31" s="43">
        <f t="shared" si="4"/>
        <v>24395.26581</v>
      </c>
      <c r="F31" s="43">
        <f t="array" ref="F31">XLOOKUP(B31,'Data Analytics rawData'!A:A,'Data Analytics rawData'!D:D)</f>
        <v>72</v>
      </c>
      <c r="G31" s="18">
        <f t="array" ref="G31">XLOOKUP(B31,'Data Analytics rawData'!A:A,'Data Analytics rawData'!E:E)</f>
        <v>50327.99957</v>
      </c>
      <c r="H31" s="43">
        <f t="array" ref="H31">XLOOKUP(B31,'Data Analytics rawData'!A:A,'Data Analytics rawData'!B:B)</f>
        <v>596</v>
      </c>
      <c r="I31" s="43">
        <f t="array" ref="I31">XLOOKUP(B31,'Data Analytics rawData'!A:A,'Data Analytics rawData'!C:C)</f>
        <v>235</v>
      </c>
      <c r="J31" s="43">
        <f t="shared" si="5"/>
        <v>338.8231362</v>
      </c>
      <c r="K31" s="38" t="s">
        <v>46</v>
      </c>
      <c r="L31" s="38" t="s">
        <v>45</v>
      </c>
      <c r="M31" s="54">
        <f t="shared" si="6"/>
        <v>0.1002785515</v>
      </c>
    </row>
    <row r="32">
      <c r="B32" s="27" t="s">
        <v>48</v>
      </c>
      <c r="C32" s="38" t="s">
        <v>47</v>
      </c>
      <c r="D32" s="11">
        <f t="array" ref="D32">XLOOKUP(B32,'Google analytics'!A:A,'Google analytics'!F:F)</f>
        <v>967</v>
      </c>
      <c r="E32" s="43">
        <f t="shared" si="4"/>
        <v>32855.46245</v>
      </c>
      <c r="F32" s="43">
        <f t="array" ref="F32">XLOOKUP(B32,'Data Analytics rawData'!A:A,'Data Analytics rawData'!D:D)</f>
        <v>34</v>
      </c>
      <c r="G32" s="18">
        <f t="array" ref="G32">XLOOKUP(B32,'Data Analytics rawData'!A:A,'Data Analytics rawData'!E:E)</f>
        <v>45782.0002</v>
      </c>
      <c r="H32" s="43">
        <f t="array" ref="H32">XLOOKUP(B32,'Data Analytics rawData'!A:A,'Data Analytics rawData'!B:B)</f>
        <v>1002</v>
      </c>
      <c r="I32" s="43">
        <f t="array" ref="I32">XLOOKUP(B32,'Data Analytics rawData'!A:A,'Data Analytics rawData'!C:C)</f>
        <v>110</v>
      </c>
      <c r="J32" s="43">
        <f t="shared" si="5"/>
        <v>966.3371308</v>
      </c>
      <c r="K32" s="38" t="s">
        <v>260</v>
      </c>
      <c r="L32" s="53" t="s">
        <v>49</v>
      </c>
      <c r="M32" s="54">
        <f t="shared" si="6"/>
        <v>0.03516028956</v>
      </c>
    </row>
    <row r="33">
      <c r="B33" s="27" t="s">
        <v>50</v>
      </c>
      <c r="C33" s="53" t="s">
        <v>49</v>
      </c>
      <c r="D33" s="11">
        <f t="array" ref="D33">XLOOKUP(B33,'Google analytics'!A:A,'Google analytics'!F:F)</f>
        <v>808</v>
      </c>
      <c r="E33" s="43">
        <f t="shared" si="4"/>
        <v>27453.16821</v>
      </c>
      <c r="F33" s="43">
        <f t="array" ref="F33">XLOOKUP(B33,'Data Analytics rawData'!A:A,'Data Analytics rawData'!D:D)</f>
        <v>29</v>
      </c>
      <c r="G33" s="18">
        <f t="array" ref="G33">XLOOKUP(B33,'Data Analytics rawData'!A:A,'Data Analytics rawData'!E:E)</f>
        <v>26410.99985</v>
      </c>
      <c r="H33" s="43">
        <f t="array" ref="H33">XLOOKUP(B33,'Data Analytics rawData'!A:A,'Data Analytics rawData'!B:B)</f>
        <v>881</v>
      </c>
      <c r="I33" s="43">
        <f t="array" ref="I33">XLOOKUP(B33,'Data Analytics rawData'!A:A,'Data Analytics rawData'!C:C)</f>
        <v>129</v>
      </c>
      <c r="J33" s="43">
        <f t="shared" si="5"/>
        <v>946.6609727</v>
      </c>
      <c r="K33" s="38" t="s">
        <v>261</v>
      </c>
      <c r="L33" s="53" t="s">
        <v>53</v>
      </c>
      <c r="M33" s="54">
        <f t="shared" si="6"/>
        <v>0.03589108911</v>
      </c>
    </row>
    <row r="34">
      <c r="B34" s="27" t="s">
        <v>52</v>
      </c>
      <c r="C34" s="11" t="str">
        <f>IFERROR(VLOOKUP(B34,K:L,2,0),"NA")</f>
        <v>FP8+AR+CB</v>
      </c>
      <c r="D34" s="11">
        <f t="array" ref="D34">XLOOKUP(B34,'Google analytics'!A:A,'Google analytics'!F:F)</f>
        <v>935</v>
      </c>
      <c r="E34" s="43">
        <f t="shared" si="4"/>
        <v>31768.20826</v>
      </c>
      <c r="F34" s="43">
        <f t="array" ref="F34">XLOOKUP(B34,'Data Analytics rawData'!A:A,'Data Analytics rawData'!D:D)</f>
        <v>41</v>
      </c>
      <c r="G34" s="18">
        <f t="array" ref="G34">XLOOKUP(B34,'Data Analytics rawData'!A:A,'Data Analytics rawData'!E:E)</f>
        <v>80419.00022</v>
      </c>
      <c r="H34" s="43">
        <f t="array" ref="H34">XLOOKUP(B34,'Data Analytics rawData'!A:A,'Data Analytics rawData'!B:B)</f>
        <v>1018</v>
      </c>
      <c r="I34" s="43">
        <f t="array" ref="I34">XLOOKUP(B34,'Data Analytics rawData'!A:A,'Data Analytics rawData'!C:C)</f>
        <v>156</v>
      </c>
      <c r="J34" s="43">
        <f t="shared" si="5"/>
        <v>774.8343478</v>
      </c>
      <c r="K34" s="38" t="s">
        <v>56</v>
      </c>
      <c r="L34" s="53" t="s">
        <v>55</v>
      </c>
      <c r="M34" s="54">
        <f t="shared" si="6"/>
        <v>0.04385026738</v>
      </c>
    </row>
    <row r="35">
      <c r="B35" s="27" t="s">
        <v>54</v>
      </c>
      <c r="C35" s="53" t="s">
        <v>53</v>
      </c>
      <c r="D35" s="11">
        <f t="array" ref="D35">XLOOKUP(B35,'Google analytics'!A:A,'Google analytics'!F:F)</f>
        <v>729</v>
      </c>
      <c r="E35" s="43">
        <f t="shared" si="4"/>
        <v>24769.00944</v>
      </c>
      <c r="F35" s="43">
        <f t="array" ref="F35">XLOOKUP(B35,'Data Analytics rawData'!A:A,'Data Analytics rawData'!D:D)</f>
        <v>25</v>
      </c>
      <c r="G35" s="18">
        <f t="array" ref="G35">XLOOKUP(B35,'Data Analytics rawData'!A:A,'Data Analytics rawData'!E:E)</f>
        <v>38622.00016</v>
      </c>
      <c r="H35" s="43">
        <f t="array" ref="H35">XLOOKUP(B35,'Data Analytics rawData'!A:A,'Data Analytics rawData'!B:B)</f>
        <v>750</v>
      </c>
      <c r="I35" s="43">
        <f t="array" ref="I35">XLOOKUP(B35,'Data Analytics rawData'!A:A,'Data Analytics rawData'!C:C)</f>
        <v>73</v>
      </c>
      <c r="J35" s="43">
        <f t="shared" si="5"/>
        <v>990.7603774</v>
      </c>
      <c r="K35" s="38" t="s">
        <v>60</v>
      </c>
      <c r="L35" s="53" t="s">
        <v>59</v>
      </c>
      <c r="M35" s="54">
        <f t="shared" si="6"/>
        <v>0.03429355281</v>
      </c>
    </row>
    <row r="36">
      <c r="B36" s="27" t="s">
        <v>56</v>
      </c>
      <c r="C36" s="11" t="str">
        <f t="shared" ref="C36:C44" si="8">IFERROR(VLOOKUP(B36,K:L,2,0),"NA")</f>
        <v>B3+AR</v>
      </c>
      <c r="D36" s="11">
        <f t="array" ref="D36">XLOOKUP(B36,'Google analytics'!A:A,'Google analytics'!F:F)</f>
        <v>549</v>
      </c>
      <c r="E36" s="43">
        <f t="shared" si="4"/>
        <v>18653.20464</v>
      </c>
      <c r="F36" s="43">
        <f t="array" ref="F36">XLOOKUP(B36,'Data Analytics rawData'!A:A,'Data Analytics rawData'!D:D)</f>
        <v>12</v>
      </c>
      <c r="G36" s="18">
        <f t="array" ref="G36">XLOOKUP(B36,'Data Analytics rawData'!A:A,'Data Analytics rawData'!E:E)</f>
        <v>15344.99998</v>
      </c>
      <c r="H36" s="43">
        <f t="array" ref="H36">XLOOKUP(B36,'Data Analytics rawData'!A:A,'Data Analytics rawData'!B:B)</f>
        <v>590</v>
      </c>
      <c r="I36" s="43">
        <f t="array" ref="I36">XLOOKUP(B36,'Data Analytics rawData'!A:A,'Data Analytics rawData'!C:C)</f>
        <v>56</v>
      </c>
      <c r="J36" s="43">
        <f t="shared" si="5"/>
        <v>1554.43372</v>
      </c>
      <c r="K36" s="38" t="s">
        <v>44</v>
      </c>
      <c r="L36" s="53" t="s">
        <v>43</v>
      </c>
      <c r="M36" s="54">
        <f t="shared" si="6"/>
        <v>0.0218579235</v>
      </c>
    </row>
    <row r="37">
      <c r="B37" s="27" t="s">
        <v>58</v>
      </c>
      <c r="C37" s="11" t="str">
        <f t="shared" si="8"/>
        <v>DP</v>
      </c>
      <c r="D37" s="11">
        <f t="array" ref="D37">XLOOKUP(B37,'Google analytics'!A:A,'Google analytics'!F:F)</f>
        <v>659</v>
      </c>
      <c r="E37" s="43">
        <f t="shared" si="4"/>
        <v>22390.6409</v>
      </c>
      <c r="F37" s="43">
        <f t="array" ref="F37">XLOOKUP(B37,'Data Analytics rawData'!A:A,'Data Analytics rawData'!D:D)</f>
        <v>67</v>
      </c>
      <c r="G37" s="18">
        <f t="array" ref="G37">XLOOKUP(B37,'Data Analytics rawData'!A:A,'Data Analytics rawData'!E:E)</f>
        <v>24159.8503</v>
      </c>
      <c r="H37" s="43">
        <f t="array" ref="H37">XLOOKUP(B37,'Data Analytics rawData'!A:A,'Data Analytics rawData'!B:B)</f>
        <v>599</v>
      </c>
      <c r="I37" s="43">
        <f t="array" ref="I37">XLOOKUP(B37,'Data Analytics rawData'!A:A,'Data Analytics rawData'!C:C)</f>
        <v>115</v>
      </c>
      <c r="J37" s="43">
        <f t="shared" si="5"/>
        <v>334.1886702</v>
      </c>
      <c r="K37" s="38" t="s">
        <v>58</v>
      </c>
      <c r="L37" s="53" t="s">
        <v>57</v>
      </c>
      <c r="M37" s="54">
        <f t="shared" si="6"/>
        <v>0.1016691958</v>
      </c>
    </row>
    <row r="38">
      <c r="B38" s="27" t="s">
        <v>60</v>
      </c>
      <c r="C38" s="11" t="str">
        <f t="shared" si="8"/>
        <v>Apron</v>
      </c>
      <c r="D38" s="11">
        <f t="array" ref="D38">XLOOKUP(B38,'Google analytics'!A:A,'Google analytics'!F:F)</f>
        <v>475</v>
      </c>
      <c r="E38" s="43">
        <f t="shared" si="4"/>
        <v>16138.92933</v>
      </c>
      <c r="F38" s="43">
        <f t="array" ref="F38">XLOOKUP(B38,'Data Analytics rawData'!A:A,'Data Analytics rawData'!D:D)</f>
        <v>50</v>
      </c>
      <c r="G38" s="18">
        <f t="array" ref="G38">XLOOKUP(B38,'Data Analytics rawData'!A:A,'Data Analytics rawData'!E:E)</f>
        <v>38751.50016</v>
      </c>
      <c r="H38" s="43">
        <f t="array" ref="H38">XLOOKUP(B38,'Data Analytics rawData'!A:A,'Data Analytics rawData'!B:B)</f>
        <v>381</v>
      </c>
      <c r="I38" s="43">
        <f t="array" ref="I38">XLOOKUP(B38,'Data Analytics rawData'!A:A,'Data Analytics rawData'!C:C)</f>
        <v>131</v>
      </c>
      <c r="J38" s="43">
        <f t="shared" si="5"/>
        <v>322.7785866</v>
      </c>
      <c r="K38" s="38" t="s">
        <v>52</v>
      </c>
      <c r="L38" s="53" t="s">
        <v>51</v>
      </c>
      <c r="M38" s="54">
        <f t="shared" si="6"/>
        <v>0.1052631579</v>
      </c>
    </row>
    <row r="39">
      <c r="B39" s="27" t="s">
        <v>62</v>
      </c>
      <c r="C39" s="11" t="str">
        <f t="shared" si="8"/>
        <v>ABC Kit</v>
      </c>
      <c r="D39" s="11">
        <f t="array" ref="D39">XLOOKUP(B39,'Google analytics'!A:A,'Google analytics'!F:F)</f>
        <v>2473</v>
      </c>
      <c r="E39" s="43">
        <f t="shared" si="4"/>
        <v>84024.3626</v>
      </c>
      <c r="F39" s="43">
        <f t="array" ref="F39">XLOOKUP(B39,'Data Analytics rawData'!A:A,'Data Analytics rawData'!D:D)</f>
        <v>98</v>
      </c>
      <c r="G39" s="18">
        <f t="array" ref="G39">XLOOKUP(B39,'Data Analytics rawData'!A:A,'Data Analytics rawData'!E:E)</f>
        <v>58561.99923</v>
      </c>
      <c r="H39" s="43">
        <f t="array" ref="H39">XLOOKUP(B39,'Data Analytics rawData'!A:A,'Data Analytics rawData'!B:B)</f>
        <v>2650</v>
      </c>
      <c r="I39" s="43">
        <f t="array" ref="I39">XLOOKUP(B39,'Data Analytics rawData'!A:A,'Data Analytics rawData'!C:C)</f>
        <v>330</v>
      </c>
      <c r="J39" s="43">
        <f t="shared" si="5"/>
        <v>857.3914551</v>
      </c>
      <c r="K39" s="38" t="s">
        <v>65</v>
      </c>
      <c r="L39" s="53" t="s">
        <v>64</v>
      </c>
      <c r="M39" s="54">
        <f t="shared" si="6"/>
        <v>0.03962798221</v>
      </c>
    </row>
    <row r="40">
      <c r="B40" s="27" t="s">
        <v>65</v>
      </c>
      <c r="C40" s="11" t="str">
        <f t="shared" si="8"/>
        <v>FP8</v>
      </c>
      <c r="D40" s="11">
        <f t="array" ref="D40">XLOOKUP(B40,'Google analytics'!A:A,'Google analytics'!F:F)</f>
        <v>814</v>
      </c>
      <c r="E40" s="43">
        <f t="shared" si="4"/>
        <v>27657.02837</v>
      </c>
      <c r="F40" s="43">
        <f t="array" ref="F40">XLOOKUP(B40,'Data Analytics rawData'!A:A,'Data Analytics rawData'!D:D)</f>
        <v>60</v>
      </c>
      <c r="G40" s="18">
        <f t="array" ref="G40">XLOOKUP(B40,'Data Analytics rawData'!A:A,'Data Analytics rawData'!E:E)</f>
        <v>53294.9999</v>
      </c>
      <c r="H40" s="43">
        <f t="array" ref="H40">XLOOKUP(B40,'Data Analytics rawData'!A:A,'Data Analytics rawData'!B:B)</f>
        <v>853</v>
      </c>
      <c r="I40" s="43">
        <f t="array" ref="I40">XLOOKUP(B40,'Data Analytics rawData'!A:A,'Data Analytics rawData'!C:C)</f>
        <v>200</v>
      </c>
      <c r="J40" s="43">
        <f t="shared" si="5"/>
        <v>460.9504728</v>
      </c>
      <c r="K40" s="38" t="s">
        <v>262</v>
      </c>
      <c r="L40" s="53" t="s">
        <v>74</v>
      </c>
      <c r="M40" s="54">
        <f t="shared" si="6"/>
        <v>0.07371007371</v>
      </c>
    </row>
    <row r="41">
      <c r="B41" s="27" t="s">
        <v>67</v>
      </c>
      <c r="C41" s="11" t="str">
        <f t="shared" si="8"/>
        <v>Playdough+MPD</v>
      </c>
      <c r="D41" s="11">
        <f t="array" ref="D41">XLOOKUP(B41,'Google analytics'!A:A,'Google analytics'!F:F)</f>
        <v>345</v>
      </c>
      <c r="E41" s="43">
        <f t="shared" si="4"/>
        <v>11721.9592</v>
      </c>
      <c r="F41" s="43">
        <f t="array" ref="F41">XLOOKUP(B41,'Data Analytics rawData'!A:A,'Data Analytics rawData'!D:D)</f>
        <v>11</v>
      </c>
      <c r="G41" s="18">
        <f t="array" ref="G41">XLOOKUP(B41,'Data Analytics rawData'!A:A,'Data Analytics rawData'!E:E)</f>
        <v>19003.9998</v>
      </c>
      <c r="H41" s="43">
        <f t="array" ref="H41">XLOOKUP(B41,'Data Analytics rawData'!A:A,'Data Analytics rawData'!B:B)</f>
        <v>366</v>
      </c>
      <c r="I41" s="43">
        <f t="array" ref="I41">XLOOKUP(B41,'Data Analytics rawData'!A:A,'Data Analytics rawData'!C:C)</f>
        <v>33</v>
      </c>
      <c r="J41" s="43">
        <f t="shared" si="5"/>
        <v>1065.632654</v>
      </c>
      <c r="K41" s="38" t="s">
        <v>180</v>
      </c>
      <c r="L41" s="38" t="s">
        <v>179</v>
      </c>
      <c r="M41" s="54">
        <f t="shared" si="6"/>
        <v>0.03188405797</v>
      </c>
    </row>
    <row r="42">
      <c r="B42" s="27" t="s">
        <v>69</v>
      </c>
      <c r="C42" s="11" t="str">
        <f t="shared" si="8"/>
        <v>Bubbles</v>
      </c>
      <c r="D42" s="11">
        <f t="array" ref="D42">XLOOKUP(B42,'Google analytics'!A:A,'Google analytics'!F:F)</f>
        <v>1154</v>
      </c>
      <c r="E42" s="43">
        <f t="shared" si="4"/>
        <v>39209.1041</v>
      </c>
      <c r="F42" s="43">
        <f t="array" ref="F42">XLOOKUP(B42,'Data Analytics rawData'!A:A,'Data Analytics rawData'!D:D)</f>
        <v>48</v>
      </c>
      <c r="G42" s="18">
        <f t="array" ref="G42">XLOOKUP(B42,'Data Analytics rawData'!A:A,'Data Analytics rawData'!E:E)</f>
        <v>20025.39941</v>
      </c>
      <c r="H42" s="43">
        <f t="array" ref="H42">XLOOKUP(B42,'Data Analytics rawData'!A:A,'Data Analytics rawData'!B:B)</f>
        <v>1154</v>
      </c>
      <c r="I42" s="43">
        <f t="array" ref="I42">XLOOKUP(B42,'Data Analytics rawData'!A:A,'Data Analytics rawData'!C:C)</f>
        <v>63</v>
      </c>
      <c r="J42" s="43">
        <f t="shared" si="5"/>
        <v>816.8563354</v>
      </c>
      <c r="K42" s="38" t="s">
        <v>67</v>
      </c>
      <c r="L42" s="38" t="s">
        <v>66</v>
      </c>
      <c r="M42" s="54">
        <f t="shared" si="6"/>
        <v>0.04159445407</v>
      </c>
    </row>
    <row r="43">
      <c r="B43" s="27" t="s">
        <v>71</v>
      </c>
      <c r="C43" s="11" t="str">
        <f t="shared" si="8"/>
        <v>FP3+B3+AR</v>
      </c>
      <c r="D43" s="11">
        <f t="array" ref="D43">XLOOKUP(B43,'Google analytics'!A:A,'Google analytics'!F:F)</f>
        <v>174</v>
      </c>
      <c r="E43" s="43">
        <f t="shared" si="4"/>
        <v>5911.944639</v>
      </c>
      <c r="F43" s="43">
        <f t="array" ref="F43">XLOOKUP(B43,'Data Analytics rawData'!A:A,'Data Analytics rawData'!D:D)</f>
        <v>7</v>
      </c>
      <c r="G43" s="18">
        <f t="array" ref="G43">XLOOKUP(B43,'Data Analytics rawData'!A:A,'Data Analytics rawData'!E:E)</f>
        <v>12784.99995</v>
      </c>
      <c r="H43" s="43">
        <f t="array" ref="H43">XLOOKUP(B43,'Data Analytics rawData'!A:A,'Data Analytics rawData'!B:B)</f>
        <v>191</v>
      </c>
      <c r="I43" s="43">
        <f t="array" ref="I43">XLOOKUP(B43,'Data Analytics rawData'!A:A,'Data Analytics rawData'!C:C)</f>
        <v>28</v>
      </c>
      <c r="J43" s="43">
        <f t="shared" si="5"/>
        <v>844.5635199</v>
      </c>
      <c r="K43" s="38" t="s">
        <v>71</v>
      </c>
      <c r="L43" s="53" t="s">
        <v>70</v>
      </c>
      <c r="M43" s="54">
        <f t="shared" si="6"/>
        <v>0.04022988506</v>
      </c>
    </row>
    <row r="44">
      <c r="B44" s="27" t="s">
        <v>73</v>
      </c>
      <c r="C44" s="11" t="str">
        <f t="shared" si="8"/>
        <v>Preschool kit</v>
      </c>
      <c r="D44" s="11">
        <f t="array" ref="D44">XLOOKUP(B44,'Google analytics'!A:A,'Google analytics'!F:F)</f>
        <v>965</v>
      </c>
      <c r="E44" s="43">
        <f t="shared" si="4"/>
        <v>32787.50906</v>
      </c>
      <c r="F44" s="43">
        <f t="array" ref="F44">XLOOKUP(B44,'Data Analytics rawData'!A:A,'Data Analytics rawData'!D:D)</f>
        <v>61</v>
      </c>
      <c r="G44" s="18">
        <f t="array" ref="G44">XLOOKUP(B44,'Data Analytics rawData'!A:A,'Data Analytics rawData'!E:E)</f>
        <v>35911.00069</v>
      </c>
      <c r="H44" s="43">
        <f t="array" ref="H44">XLOOKUP(B44,'Data Analytics rawData'!A:A,'Data Analytics rawData'!B:B)</f>
        <v>1004</v>
      </c>
      <c r="I44" s="43">
        <f t="array" ref="I44">XLOOKUP(B44,'Data Analytics rawData'!A:A,'Data Analytics rawData'!C:C)</f>
        <v>180</v>
      </c>
      <c r="J44" s="43">
        <f t="shared" si="5"/>
        <v>537.5001485</v>
      </c>
      <c r="K44" s="38" t="s">
        <v>77</v>
      </c>
      <c r="L44" s="38" t="s">
        <v>76</v>
      </c>
      <c r="M44" s="54">
        <f t="shared" si="6"/>
        <v>0.06321243523</v>
      </c>
    </row>
    <row r="45">
      <c r="B45" s="27" t="s">
        <v>75</v>
      </c>
      <c r="C45" s="53" t="s">
        <v>74</v>
      </c>
      <c r="D45" s="11">
        <f t="array" ref="D45">XLOOKUP(B45,'Google analytics'!A:A,'Google analytics'!F:F)</f>
        <v>419</v>
      </c>
      <c r="E45" s="43">
        <f t="shared" si="4"/>
        <v>14236.2345</v>
      </c>
      <c r="F45" s="43">
        <f t="array" ref="F45">XLOOKUP(B45,'Data Analytics rawData'!A:A,'Data Analytics rawData'!D:D)</f>
        <v>21</v>
      </c>
      <c r="G45" s="18">
        <f t="array" ref="G45">XLOOKUP(B45,'Data Analytics rawData'!A:A,'Data Analytics rawData'!E:E)</f>
        <v>31365.99995</v>
      </c>
      <c r="H45" s="43">
        <f t="array" ref="H45">XLOOKUP(B45,'Data Analytics rawData'!A:A,'Data Analytics rawData'!B:B)</f>
        <v>476</v>
      </c>
      <c r="I45" s="43">
        <f t="array" ref="I45">XLOOKUP(B45,'Data Analytics rawData'!A:A,'Data Analytics rawData'!C:C)</f>
        <v>74</v>
      </c>
      <c r="J45" s="43">
        <f t="shared" si="5"/>
        <v>677.9159288</v>
      </c>
      <c r="K45" s="38" t="s">
        <v>79</v>
      </c>
      <c r="L45" s="38" t="s">
        <v>78</v>
      </c>
      <c r="M45" s="54">
        <f t="shared" si="6"/>
        <v>0.05011933174</v>
      </c>
    </row>
    <row r="46">
      <c r="B46" s="27" t="s">
        <v>77</v>
      </c>
      <c r="C46" s="11" t="str">
        <f t="shared" ref="C46:C50" si="9">IFERROR(VLOOKUP(B46,K:L,2,0),"NA")</f>
        <v>B8</v>
      </c>
      <c r="D46" s="11">
        <f t="array" ref="D46">XLOOKUP(B46,'Google analytics'!A:A,'Google analytics'!F:F)</f>
        <v>684</v>
      </c>
      <c r="E46" s="43">
        <f t="shared" si="4"/>
        <v>23240.05824</v>
      </c>
      <c r="F46" s="43">
        <f t="array" ref="F46">XLOOKUP(B46,'Data Analytics rawData'!A:A,'Data Analytics rawData'!D:D)</f>
        <v>52</v>
      </c>
      <c r="G46" s="18">
        <f t="array" ref="G46">XLOOKUP(B46,'Data Analytics rawData'!A:A,'Data Analytics rawData'!E:E)</f>
        <v>23017.99993</v>
      </c>
      <c r="H46" s="43">
        <f t="array" ref="H46">XLOOKUP(B46,'Data Analytics rawData'!A:A,'Data Analytics rawData'!B:B)</f>
        <v>671</v>
      </c>
      <c r="I46" s="43">
        <f t="array" ref="I46">XLOOKUP(B46,'Data Analytics rawData'!A:A,'Data Analytics rawData'!C:C)</f>
        <v>173</v>
      </c>
      <c r="J46" s="43">
        <f t="shared" si="5"/>
        <v>446.9241968</v>
      </c>
      <c r="K46" s="38" t="s">
        <v>81</v>
      </c>
      <c r="L46" s="53" t="s">
        <v>80</v>
      </c>
      <c r="M46" s="54">
        <f t="shared" si="6"/>
        <v>0.07602339181</v>
      </c>
    </row>
    <row r="47">
      <c r="B47" s="27" t="s">
        <v>79</v>
      </c>
      <c r="C47" s="11" t="str">
        <f t="shared" si="9"/>
        <v>SR</v>
      </c>
      <c r="D47" s="11">
        <f t="array" ref="D47">XLOOKUP(B47,'Google analytics'!A:A,'Google analytics'!F:F)</f>
        <v>1065</v>
      </c>
      <c r="E47" s="43">
        <f t="shared" si="4"/>
        <v>36185.17839</v>
      </c>
      <c r="F47" s="43">
        <f t="array" ref="F47">XLOOKUP(B47,'Data Analytics rawData'!A:A,'Data Analytics rawData'!D:D)</f>
        <v>28</v>
      </c>
      <c r="G47" s="18">
        <f t="array" ref="G47">XLOOKUP(B47,'Data Analytics rawData'!A:A,'Data Analytics rawData'!E:E)</f>
        <v>19371.99978</v>
      </c>
      <c r="H47" s="43">
        <f t="array" ref="H47">XLOOKUP(B47,'Data Analytics rawData'!A:A,'Data Analytics rawData'!B:B)</f>
        <v>1102</v>
      </c>
      <c r="I47" s="43">
        <f t="array" ref="I47">XLOOKUP(B47,'Data Analytics rawData'!A:A,'Data Analytics rawData'!C:C)</f>
        <v>93</v>
      </c>
      <c r="J47" s="43">
        <f t="shared" si="5"/>
        <v>1292.3278</v>
      </c>
      <c r="K47" s="38" t="s">
        <v>134</v>
      </c>
      <c r="L47" s="53" t="s">
        <v>133</v>
      </c>
      <c r="M47" s="54">
        <f t="shared" si="6"/>
        <v>0.02629107981</v>
      </c>
    </row>
    <row r="48">
      <c r="B48" s="27" t="s">
        <v>81</v>
      </c>
      <c r="C48" s="11" t="str">
        <f t="shared" si="9"/>
        <v>Stamp kit</v>
      </c>
      <c r="D48" s="11">
        <f t="array" ref="D48">XLOOKUP(B48,'Google analytics'!A:A,'Google analytics'!F:F)</f>
        <v>399</v>
      </c>
      <c r="E48" s="43">
        <f t="shared" si="4"/>
        <v>13556.70064</v>
      </c>
      <c r="F48" s="43">
        <f t="array" ref="F48">XLOOKUP(B48,'Data Analytics rawData'!A:A,'Data Analytics rawData'!D:D)</f>
        <v>37</v>
      </c>
      <c r="G48" s="18">
        <f t="array" ref="G48">XLOOKUP(B48,'Data Analytics rawData'!A:A,'Data Analytics rawData'!E:E)</f>
        <v>36963.00013</v>
      </c>
      <c r="H48" s="43">
        <f t="array" ref="H48">XLOOKUP(B48,'Data Analytics rawData'!A:A,'Data Analytics rawData'!B:B)</f>
        <v>415</v>
      </c>
      <c r="I48" s="43">
        <f t="array" ref="I48">XLOOKUP(B48,'Data Analytics rawData'!A:A,'Data Analytics rawData'!C:C)</f>
        <v>91</v>
      </c>
      <c r="J48" s="43">
        <f t="shared" si="5"/>
        <v>366.3973145</v>
      </c>
      <c r="K48" s="38" t="s">
        <v>69</v>
      </c>
      <c r="L48" s="38" t="s">
        <v>68</v>
      </c>
      <c r="M48" s="54">
        <f t="shared" si="6"/>
        <v>0.09273182957</v>
      </c>
    </row>
    <row r="49">
      <c r="B49" s="27" t="s">
        <v>83</v>
      </c>
      <c r="C49" s="11" t="str">
        <f t="shared" si="9"/>
        <v>SR+Playdough</v>
      </c>
      <c r="D49" s="11">
        <f t="array" ref="D49">XLOOKUP(B49,'Google analytics'!A:A,'Google analytics'!F:F)</f>
        <v>485</v>
      </c>
      <c r="E49" s="43">
        <f t="shared" si="4"/>
        <v>16478.69626</v>
      </c>
      <c r="F49" s="43">
        <f t="array" ref="F49">XLOOKUP(B49,'Data Analytics rawData'!A:A,'Data Analytics rawData'!D:D)</f>
        <v>20</v>
      </c>
      <c r="G49" s="18">
        <f t="array" ref="G49">XLOOKUP(B49,'Data Analytics rawData'!A:A,'Data Analytics rawData'!E:E)</f>
        <v>30792.00011</v>
      </c>
      <c r="H49" s="43">
        <f t="array" ref="H49">XLOOKUP(B49,'Data Analytics rawData'!A:A,'Data Analytics rawData'!B:B)</f>
        <v>532</v>
      </c>
      <c r="I49" s="43">
        <f t="array" ref="I49">XLOOKUP(B49,'Data Analytics rawData'!A:A,'Data Analytics rawData'!C:C)</f>
        <v>48</v>
      </c>
      <c r="J49" s="43">
        <f t="shared" si="5"/>
        <v>823.9348132</v>
      </c>
      <c r="K49" s="38" t="s">
        <v>106</v>
      </c>
      <c r="L49" s="38" t="s">
        <v>57</v>
      </c>
      <c r="M49" s="54">
        <f t="shared" si="6"/>
        <v>0.0412371134</v>
      </c>
    </row>
    <row r="50">
      <c r="B50" s="27" t="s">
        <v>85</v>
      </c>
      <c r="C50" s="11" t="str">
        <f t="shared" si="9"/>
        <v>FP3+JB</v>
      </c>
      <c r="D50" s="11">
        <f t="array" ref="D50">XLOOKUP(B50,'Google analytics'!A:A,'Google analytics'!F:F)</f>
        <v>305</v>
      </c>
      <c r="E50" s="43">
        <f t="shared" si="4"/>
        <v>10362.89146</v>
      </c>
      <c r="F50" s="43">
        <f t="array" ref="F50">XLOOKUP(B50,'Data Analytics rawData'!A:A,'Data Analytics rawData'!D:D)</f>
        <v>12</v>
      </c>
      <c r="G50" s="18">
        <f t="array" ref="G50">XLOOKUP(B50,'Data Analytics rawData'!A:A,'Data Analytics rawData'!E:E)</f>
        <v>13325.00002</v>
      </c>
      <c r="H50" s="43">
        <f t="array" ref="H50">XLOOKUP(B50,'Data Analytics rawData'!A:A,'Data Analytics rawData'!B:B)</f>
        <v>321</v>
      </c>
      <c r="I50" s="43">
        <f t="array" ref="I50">XLOOKUP(B50,'Data Analytics rawData'!A:A,'Data Analytics rawData'!C:C)</f>
        <v>38</v>
      </c>
      <c r="J50" s="43">
        <f t="shared" si="5"/>
        <v>863.5742887</v>
      </c>
      <c r="K50" s="38" t="s">
        <v>83</v>
      </c>
      <c r="L50" s="38" t="s">
        <v>82</v>
      </c>
      <c r="M50" s="54">
        <f t="shared" si="6"/>
        <v>0.0393442623</v>
      </c>
    </row>
    <row r="51">
      <c r="B51" s="27" t="s">
        <v>87</v>
      </c>
      <c r="C51" s="29" t="s">
        <v>86</v>
      </c>
      <c r="D51" s="11">
        <f t="array" ref="D51">XLOOKUP(B51,'Google analytics'!A:A,'Google analytics'!F:F)</f>
        <v>1015</v>
      </c>
      <c r="E51" s="43">
        <f t="shared" si="4"/>
        <v>34486.34373</v>
      </c>
      <c r="F51" s="43">
        <f t="array" ref="F51">XLOOKUP(B51,'Data Analytics rawData'!A:A,'Data Analytics rawData'!D:D)</f>
        <v>34</v>
      </c>
      <c r="G51" s="18">
        <f t="array" ref="G51">XLOOKUP(B51,'Data Analytics rawData'!A:A,'Data Analytics rawData'!E:E)</f>
        <v>18643.00007</v>
      </c>
      <c r="H51" s="43">
        <f t="array" ref="H51">XLOOKUP(B51,'Data Analytics rawData'!A:A,'Data Analytics rawData'!B:B)</f>
        <v>1123</v>
      </c>
      <c r="I51" s="43">
        <f t="array" ref="I51">XLOOKUP(B51,'Data Analytics rawData'!A:A,'Data Analytics rawData'!C:C)</f>
        <v>130</v>
      </c>
      <c r="J51" s="43">
        <f t="shared" si="5"/>
        <v>1014.304227</v>
      </c>
      <c r="K51" s="38" t="s">
        <v>73</v>
      </c>
      <c r="L51" s="38" t="s">
        <v>72</v>
      </c>
      <c r="M51" s="54">
        <f t="shared" si="6"/>
        <v>0.03349753695</v>
      </c>
    </row>
    <row r="52">
      <c r="B52" s="27" t="s">
        <v>89</v>
      </c>
      <c r="C52" s="11" t="str">
        <f>IFERROR(VLOOKUP(B52,K:L,2,0),"NA")</f>
        <v>DP+Playdough</v>
      </c>
      <c r="D52" s="11">
        <f t="array" ref="D52">XLOOKUP(B52,'Google analytics'!A:A,'Google analytics'!F:F)</f>
        <v>233</v>
      </c>
      <c r="E52" s="43">
        <f t="shared" si="4"/>
        <v>7916.569545</v>
      </c>
      <c r="F52" s="43">
        <f t="array" ref="F52">XLOOKUP(B52,'Data Analytics rawData'!A:A,'Data Analytics rawData'!D:D)</f>
        <v>6</v>
      </c>
      <c r="G52" s="18">
        <f t="array" ref="G52">XLOOKUP(B52,'Data Analytics rawData'!A:A,'Data Analytics rawData'!E:E)</f>
        <v>7475.999977</v>
      </c>
      <c r="H52" s="43">
        <f t="array" ref="H52">XLOOKUP(B52,'Data Analytics rawData'!A:A,'Data Analytics rawData'!B:B)</f>
        <v>253</v>
      </c>
      <c r="I52" s="43">
        <f t="array" ref="I52">XLOOKUP(B52,'Data Analytics rawData'!A:A,'Data Analytics rawData'!C:C)</f>
        <v>17</v>
      </c>
      <c r="J52" s="43">
        <f t="shared" si="5"/>
        <v>1319.428258</v>
      </c>
      <c r="K52" s="38" t="s">
        <v>110</v>
      </c>
      <c r="L52" s="38" t="s">
        <v>109</v>
      </c>
      <c r="M52" s="54">
        <f t="shared" si="6"/>
        <v>0.02575107296</v>
      </c>
    </row>
    <row r="53">
      <c r="B53" s="27" t="s">
        <v>91</v>
      </c>
      <c r="C53" s="38" t="s">
        <v>90</v>
      </c>
      <c r="D53" s="11">
        <f t="array" ref="D53">XLOOKUP(B53,'Google analytics'!A:A,'Google analytics'!F:F)</f>
        <v>485</v>
      </c>
      <c r="E53" s="43">
        <f t="shared" si="4"/>
        <v>16478.69626</v>
      </c>
      <c r="F53" s="43">
        <f t="array" ref="F53">XLOOKUP(B53,'Data Analytics rawData'!A:A,'Data Analytics rawData'!D:D)</f>
        <v>11</v>
      </c>
      <c r="G53" s="18">
        <f t="array" ref="G53">XLOOKUP(B53,'Data Analytics rawData'!A:A,'Data Analytics rawData'!E:E)</f>
        <v>17315.0001</v>
      </c>
      <c r="H53" s="43">
        <f t="array" ref="H53">XLOOKUP(B53,'Data Analytics rawData'!A:A,'Data Analytics rawData'!B:B)</f>
        <v>519</v>
      </c>
      <c r="I53" s="43">
        <f t="array" ref="I53">XLOOKUP(B53,'Data Analytics rawData'!A:A,'Data Analytics rawData'!C:C)</f>
        <v>61</v>
      </c>
      <c r="J53" s="43">
        <f t="shared" si="5"/>
        <v>1498.063297</v>
      </c>
      <c r="K53" s="38" t="s">
        <v>263</v>
      </c>
      <c r="L53" s="38" t="s">
        <v>107</v>
      </c>
      <c r="M53" s="54">
        <f t="shared" si="6"/>
        <v>0.02268041237</v>
      </c>
    </row>
    <row r="54">
      <c r="B54" s="27" t="s">
        <v>93</v>
      </c>
      <c r="C54" s="11" t="str">
        <f t="shared" ref="C54:C55" si="10">IFERROR(VLOOKUP(B54,K:L,2,0),"NA")</f>
        <v>B8+AR</v>
      </c>
      <c r="D54" s="11">
        <f t="array" ref="D54">XLOOKUP(B54,'Google analytics'!A:A,'Google analytics'!F:F)</f>
        <v>151</v>
      </c>
      <c r="E54" s="43">
        <f t="shared" si="4"/>
        <v>5130.480692</v>
      </c>
      <c r="F54" s="43">
        <f t="array" ref="F54">XLOOKUP(B54,'Data Analytics rawData'!A:A,'Data Analytics rawData'!D:D)</f>
        <v>7</v>
      </c>
      <c r="G54" s="18">
        <f t="array" ref="G54">XLOOKUP(B54,'Data Analytics rawData'!A:A,'Data Analytics rawData'!E:E)</f>
        <v>7279.000097</v>
      </c>
      <c r="H54" s="43">
        <f t="array" ref="H54">XLOOKUP(B54,'Data Analytics rawData'!A:A,'Data Analytics rawData'!B:B)</f>
        <v>159</v>
      </c>
      <c r="I54" s="43">
        <f t="array" ref="I54">XLOOKUP(B54,'Data Analytics rawData'!A:A,'Data Analytics rawData'!C:C)</f>
        <v>20</v>
      </c>
      <c r="J54" s="43">
        <f t="shared" si="5"/>
        <v>732.9258132</v>
      </c>
      <c r="K54" s="38" t="s">
        <v>150</v>
      </c>
      <c r="L54" s="38" t="s">
        <v>149</v>
      </c>
      <c r="M54" s="54">
        <f t="shared" si="6"/>
        <v>0.04635761589</v>
      </c>
    </row>
    <row r="55">
      <c r="B55" s="27" t="s">
        <v>95</v>
      </c>
      <c r="C55" s="11" t="str">
        <f t="shared" si="10"/>
        <v>JB</v>
      </c>
      <c r="D55" s="11">
        <f t="array" ref="D55">XLOOKUP(B55,'Google analytics'!A:A,'Google analytics'!F:F)</f>
        <v>652</v>
      </c>
      <c r="E55" s="43">
        <f t="shared" si="4"/>
        <v>22152.80405</v>
      </c>
      <c r="F55" s="43">
        <f t="array" ref="F55">XLOOKUP(B55,'Data Analytics rawData'!A:A,'Data Analytics rawData'!D:D)</f>
        <v>31</v>
      </c>
      <c r="G55" s="18">
        <f t="array" ref="G55">XLOOKUP(B55,'Data Analytics rawData'!A:A,'Data Analytics rawData'!E:E)</f>
        <v>14469.00011</v>
      </c>
      <c r="H55" s="43">
        <f t="array" ref="H55">XLOOKUP(B55,'Data Analytics rawData'!A:A,'Data Analytics rawData'!B:B)</f>
        <v>636</v>
      </c>
      <c r="I55" s="43">
        <f t="array" ref="I55">XLOOKUP(B55,'Data Analytics rawData'!A:A,'Data Analytics rawData'!C:C)</f>
        <v>106</v>
      </c>
      <c r="J55" s="43">
        <f t="shared" si="5"/>
        <v>714.6065822</v>
      </c>
      <c r="K55" s="38" t="s">
        <v>264</v>
      </c>
      <c r="L55" s="38" t="s">
        <v>265</v>
      </c>
      <c r="M55" s="54">
        <f t="shared" si="6"/>
        <v>0.04754601227</v>
      </c>
    </row>
    <row r="56">
      <c r="B56" s="27" t="s">
        <v>97</v>
      </c>
      <c r="C56" s="29" t="s">
        <v>96</v>
      </c>
      <c r="D56" s="11">
        <f t="array" ref="D56">XLOOKUP(B56,'Google analytics'!A:A,'Google analytics'!F:F)</f>
        <v>1113</v>
      </c>
      <c r="E56" s="43">
        <f t="shared" si="4"/>
        <v>37816.05967</v>
      </c>
      <c r="F56" s="43">
        <f t="array" ref="F56">XLOOKUP(B56,'Data Analytics rawData'!A:A,'Data Analytics rawData'!D:D)</f>
        <v>22</v>
      </c>
      <c r="G56" s="18">
        <f t="array" ref="G56">XLOOKUP(B56,'Data Analytics rawData'!A:A,'Data Analytics rawData'!E:E)</f>
        <v>12171.99976</v>
      </c>
      <c r="H56" s="43">
        <f t="array" ref="H56">XLOOKUP(B56,'Data Analytics rawData'!A:A,'Data Analytics rawData'!B:B)</f>
        <v>1196</v>
      </c>
      <c r="I56" s="43">
        <f t="array" ref="I56">XLOOKUP(B56,'Data Analytics rawData'!A:A,'Data Analytics rawData'!C:C)</f>
        <v>74</v>
      </c>
      <c r="J56" s="43">
        <f t="shared" si="5"/>
        <v>1718.911803</v>
      </c>
      <c r="K56" s="38" t="s">
        <v>95</v>
      </c>
      <c r="L56" s="38" t="s">
        <v>94</v>
      </c>
      <c r="M56" s="54">
        <f t="shared" si="6"/>
        <v>0.01976639712</v>
      </c>
    </row>
    <row r="57">
      <c r="B57" s="27" t="s">
        <v>99</v>
      </c>
      <c r="C57" s="11" t="str">
        <f t="shared" ref="C57:C59" si="11">IFERROR(VLOOKUP(B57,K:L,2,0),"NA")</f>
        <v>FP3+B3</v>
      </c>
      <c r="D57" s="11">
        <f t="array" ref="D57">XLOOKUP(B57,'Google analytics'!A:A,'Google analytics'!F:F)</f>
        <v>170</v>
      </c>
      <c r="E57" s="43">
        <f t="shared" si="4"/>
        <v>5776.037866</v>
      </c>
      <c r="F57" s="43">
        <f t="array" ref="F57">XLOOKUP(B57,'Data Analytics rawData'!A:A,'Data Analytics rawData'!D:D)</f>
        <v>7</v>
      </c>
      <c r="G57" s="18">
        <f t="array" ref="G57">XLOOKUP(B57,'Data Analytics rawData'!A:A,'Data Analytics rawData'!E:E)</f>
        <v>8038.00003</v>
      </c>
      <c r="H57" s="43">
        <f t="array" ref="H57">XLOOKUP(B57,'Data Analytics rawData'!A:A,'Data Analytics rawData'!B:B)</f>
        <v>184</v>
      </c>
      <c r="I57" s="43">
        <f t="array" ref="I57">XLOOKUP(B57,'Data Analytics rawData'!A:A,'Data Analytics rawData'!C:C)</f>
        <v>39</v>
      </c>
      <c r="J57" s="43">
        <f t="shared" si="5"/>
        <v>825.1482665</v>
      </c>
      <c r="K57" s="38" t="s">
        <v>101</v>
      </c>
      <c r="L57" s="38" t="s">
        <v>100</v>
      </c>
      <c r="M57" s="54">
        <f t="shared" si="6"/>
        <v>0.04117647059</v>
      </c>
    </row>
    <row r="58">
      <c r="B58" s="27" t="s">
        <v>101</v>
      </c>
      <c r="C58" s="11" t="str">
        <f t="shared" si="11"/>
        <v>B3+Playdough</v>
      </c>
      <c r="D58" s="11">
        <f t="array" ref="D58">XLOOKUP(B58,'Google analytics'!A:A,'Google analytics'!F:F)</f>
        <v>295</v>
      </c>
      <c r="E58" s="43">
        <f t="shared" si="4"/>
        <v>10023.12453</v>
      </c>
      <c r="F58" s="43">
        <f t="array" ref="F58">XLOOKUP(B58,'Data Analytics rawData'!A:A,'Data Analytics rawData'!D:D)</f>
        <v>10</v>
      </c>
      <c r="G58" s="18">
        <f t="array" ref="G58">XLOOKUP(B58,'Data Analytics rawData'!A:A,'Data Analytics rawData'!E:E)</f>
        <v>13926.0001</v>
      </c>
      <c r="H58" s="43">
        <f t="array" ref="H58">XLOOKUP(B58,'Data Analytics rawData'!A:A,'Data Analytics rawData'!B:B)</f>
        <v>325</v>
      </c>
      <c r="I58" s="43">
        <f t="array" ref="I58">XLOOKUP(B58,'Data Analytics rawData'!A:A,'Data Analytics rawData'!C:C)</f>
        <v>31</v>
      </c>
      <c r="J58" s="43">
        <f t="shared" si="5"/>
        <v>1002.312453</v>
      </c>
      <c r="K58" s="38" t="s">
        <v>266</v>
      </c>
      <c r="L58" s="53" t="s">
        <v>104</v>
      </c>
      <c r="M58" s="54">
        <f t="shared" si="6"/>
        <v>0.03389830508</v>
      </c>
    </row>
    <row r="59">
      <c r="B59" s="27" t="s">
        <v>103</v>
      </c>
      <c r="C59" s="11" t="str">
        <f t="shared" si="11"/>
        <v>Canvas</v>
      </c>
      <c r="D59" s="11">
        <f t="array" ref="D59">XLOOKUP(B59,'Google analytics'!A:A,'Google analytics'!F:F)</f>
        <v>199</v>
      </c>
      <c r="E59" s="43">
        <f t="shared" si="4"/>
        <v>6761.361972</v>
      </c>
      <c r="F59" s="43">
        <f t="array" ref="F59">XLOOKUP(B59,'Data Analytics rawData'!A:A,'Data Analytics rawData'!D:D)</f>
        <v>35</v>
      </c>
      <c r="G59" s="18">
        <f t="array" ref="G59">XLOOKUP(B59,'Data Analytics rawData'!A:A,'Data Analytics rawData'!E:E)</f>
        <v>6080.000241</v>
      </c>
      <c r="H59" s="43">
        <f t="array" ref="H59">XLOOKUP(B59,'Data Analytics rawData'!A:A,'Data Analytics rawData'!B:B)</f>
        <v>161</v>
      </c>
      <c r="I59" s="43">
        <f t="array" ref="I59">XLOOKUP(B59,'Data Analytics rawData'!A:A,'Data Analytics rawData'!C:C)</f>
        <v>53</v>
      </c>
      <c r="J59" s="43">
        <f t="shared" si="5"/>
        <v>193.1817706</v>
      </c>
      <c r="K59" s="38" t="s">
        <v>85</v>
      </c>
      <c r="L59" s="38" t="s">
        <v>84</v>
      </c>
      <c r="M59" s="54">
        <f t="shared" si="6"/>
        <v>0.175879397</v>
      </c>
    </row>
    <row r="60">
      <c r="B60" s="27" t="s">
        <v>105</v>
      </c>
      <c r="C60" s="53" t="s">
        <v>104</v>
      </c>
      <c r="D60" s="11">
        <f t="array" ref="D60">XLOOKUP(B60,'Google analytics'!A:A,'Google analytics'!F:F)</f>
        <v>319</v>
      </c>
      <c r="E60" s="43">
        <f t="shared" si="4"/>
        <v>10838.56517</v>
      </c>
      <c r="F60" s="43">
        <f t="array" ref="F60">XLOOKUP(B60,'Data Analytics rawData'!A:A,'Data Analytics rawData'!D:D)</f>
        <v>1</v>
      </c>
      <c r="G60" s="18">
        <f t="array" ref="G60">XLOOKUP(B60,'Data Analytics rawData'!A:A,'Data Analytics rawData'!E:E)</f>
        <v>1992.000047</v>
      </c>
      <c r="H60" s="43">
        <f t="array" ref="H60">XLOOKUP(B60,'Data Analytics rawData'!A:A,'Data Analytics rawData'!B:B)</f>
        <v>356</v>
      </c>
      <c r="I60" s="43">
        <f t="array" ref="I60">XLOOKUP(B60,'Data Analytics rawData'!A:A,'Data Analytics rawData'!C:C)</f>
        <v>13</v>
      </c>
      <c r="J60" s="43">
        <f t="shared" si="5"/>
        <v>10838.56517</v>
      </c>
      <c r="K60" s="38" t="s">
        <v>126</v>
      </c>
      <c r="L60" s="38" t="s">
        <v>125</v>
      </c>
      <c r="M60" s="54">
        <f t="shared" si="6"/>
        <v>0.003134796238</v>
      </c>
    </row>
    <row r="61">
      <c r="B61" s="27" t="s">
        <v>106</v>
      </c>
      <c r="C61" s="11" t="str">
        <f>IFERROR(VLOOKUP(B61,K:L,2,0),"NA")</f>
        <v>DP</v>
      </c>
      <c r="D61" s="11">
        <f t="array" ref="D61">XLOOKUP(B61,'Google analytics'!A:A,'Google analytics'!F:F)</f>
        <v>592</v>
      </c>
      <c r="E61" s="43">
        <f t="shared" si="4"/>
        <v>20114.20245</v>
      </c>
      <c r="F61" s="43">
        <f t="array" ref="F61">XLOOKUP(B61,'Data Analytics rawData'!A:A,'Data Analytics rawData'!D:D)</f>
        <v>37</v>
      </c>
      <c r="G61" s="18">
        <f t="array" ref="G61">XLOOKUP(B61,'Data Analytics rawData'!A:A,'Data Analytics rawData'!E:E)</f>
        <v>32903.00009</v>
      </c>
      <c r="H61" s="43">
        <f t="array" ref="H61">XLOOKUP(B61,'Data Analytics rawData'!A:A,'Data Analytics rawData'!B:B)</f>
        <v>654</v>
      </c>
      <c r="I61" s="43">
        <f t="array" ref="I61">XLOOKUP(B61,'Data Analytics rawData'!A:A,'Data Analytics rawData'!C:C)</f>
        <v>123</v>
      </c>
      <c r="J61" s="43">
        <f t="shared" si="5"/>
        <v>543.6270932</v>
      </c>
      <c r="K61" s="38" t="s">
        <v>103</v>
      </c>
      <c r="L61" s="38" t="s">
        <v>102</v>
      </c>
      <c r="M61" s="54">
        <f t="shared" si="6"/>
        <v>0.0625</v>
      </c>
    </row>
    <row r="62">
      <c r="B62" s="27" t="s">
        <v>108</v>
      </c>
      <c r="C62" s="29" t="s">
        <v>107</v>
      </c>
      <c r="D62" s="11">
        <f t="array" ref="D62">XLOOKUP(B62,'Google analytics'!A:A,'Google analytics'!F:F)</f>
        <v>593</v>
      </c>
      <c r="E62" s="43">
        <f t="shared" si="4"/>
        <v>20148.17914</v>
      </c>
      <c r="F62" s="43">
        <f t="array" ref="F62">XLOOKUP(B62,'Data Analytics rawData'!A:A,'Data Analytics rawData'!D:D)</f>
        <v>21</v>
      </c>
      <c r="G62" s="18">
        <f t="array" ref="G62">XLOOKUP(B62,'Data Analytics rawData'!A:A,'Data Analytics rawData'!E:E)</f>
        <v>10479.00012</v>
      </c>
      <c r="H62" s="43">
        <f t="array" ref="H62">XLOOKUP(B62,'Data Analytics rawData'!A:A,'Data Analytics rawData'!B:B)</f>
        <v>641</v>
      </c>
      <c r="I62" s="43">
        <f t="array" ref="I62">XLOOKUP(B62,'Data Analytics rawData'!A:A,'Data Analytics rawData'!C:C)</f>
        <v>94</v>
      </c>
      <c r="J62" s="43">
        <f t="shared" si="5"/>
        <v>959.4371021</v>
      </c>
      <c r="K62" s="38" t="s">
        <v>267</v>
      </c>
      <c r="L62" s="38" t="s">
        <v>265</v>
      </c>
      <c r="M62" s="54">
        <f t="shared" si="6"/>
        <v>0.03541315346</v>
      </c>
    </row>
    <row r="63">
      <c r="B63" s="27" t="s">
        <v>110</v>
      </c>
      <c r="C63" s="11" t="str">
        <f t="shared" ref="C63:C66" si="12">IFERROR(VLOOKUP(B63,K:L,2,0),"NA")</f>
        <v>DP+B8</v>
      </c>
      <c r="D63" s="11">
        <f t="array" ref="D63">XLOOKUP(B63,'Google analytics'!A:A,'Google analytics'!F:F)</f>
        <v>200</v>
      </c>
      <c r="E63" s="43">
        <f t="shared" si="4"/>
        <v>6795.338666</v>
      </c>
      <c r="F63" s="43">
        <f t="array" ref="F63">XLOOKUP(B63,'Data Analytics rawData'!A:A,'Data Analytics rawData'!D:D)</f>
        <v>9</v>
      </c>
      <c r="G63" s="18">
        <f t="array" ref="G63">XLOOKUP(B63,'Data Analytics rawData'!A:A,'Data Analytics rawData'!E:E)</f>
        <v>7340.999982</v>
      </c>
      <c r="H63" s="43">
        <f t="array" ref="H63">XLOOKUP(B63,'Data Analytics rawData'!A:A,'Data Analytics rawData'!B:B)</f>
        <v>228</v>
      </c>
      <c r="I63" s="43">
        <f t="array" ref="I63">XLOOKUP(B63,'Data Analytics rawData'!A:A,'Data Analytics rawData'!C:C)</f>
        <v>30</v>
      </c>
      <c r="J63" s="43">
        <f t="shared" si="5"/>
        <v>755.0376295</v>
      </c>
      <c r="K63" s="38" t="s">
        <v>268</v>
      </c>
      <c r="L63" s="38" t="s">
        <v>90</v>
      </c>
      <c r="M63" s="54">
        <f t="shared" si="6"/>
        <v>0.045</v>
      </c>
    </row>
    <row r="64">
      <c r="B64" s="27" t="s">
        <v>112</v>
      </c>
      <c r="C64" s="11" t="str">
        <f t="shared" si="12"/>
        <v>FP3+AR</v>
      </c>
      <c r="D64" s="11">
        <f t="array" ref="D64">XLOOKUP(B64,'Google analytics'!A:A,'Google analytics'!F:F)</f>
        <v>88</v>
      </c>
      <c r="E64" s="43">
        <f t="shared" si="4"/>
        <v>2989.949013</v>
      </c>
      <c r="F64" s="43">
        <f t="array" ref="F64">XLOOKUP(B64,'Data Analytics rawData'!A:A,'Data Analytics rawData'!D:D)</f>
        <v>2</v>
      </c>
      <c r="G64" s="18">
        <f t="array" ref="G64">XLOOKUP(B64,'Data Analytics rawData'!A:A,'Data Analytics rawData'!E:E)</f>
        <v>2604.999988</v>
      </c>
      <c r="H64" s="43">
        <f t="array" ref="H64">XLOOKUP(B64,'Data Analytics rawData'!A:A,'Data Analytics rawData'!B:B)</f>
        <v>88</v>
      </c>
      <c r="I64" s="43">
        <f t="array" ref="I64">XLOOKUP(B64,'Data Analytics rawData'!A:A,'Data Analytics rawData'!C:C)</f>
        <v>17</v>
      </c>
      <c r="J64" s="43">
        <f t="shared" si="5"/>
        <v>1494.974506</v>
      </c>
      <c r="K64" s="38" t="s">
        <v>89</v>
      </c>
      <c r="L64" s="38" t="s">
        <v>88</v>
      </c>
      <c r="M64" s="54">
        <f t="shared" si="6"/>
        <v>0.02272727273</v>
      </c>
    </row>
    <row r="65">
      <c r="B65" s="27" t="s">
        <v>114</v>
      </c>
      <c r="C65" s="11" t="str">
        <f t="shared" si="12"/>
        <v>CB</v>
      </c>
      <c r="D65" s="11">
        <f t="array" ref="D65">XLOOKUP(B65,'Google analytics'!A:A,'Google analytics'!F:F)</f>
        <v>302</v>
      </c>
      <c r="E65" s="43">
        <f t="shared" si="4"/>
        <v>10260.96138</v>
      </c>
      <c r="F65" s="43">
        <f t="array" ref="F65">XLOOKUP(B65,'Data Analytics rawData'!A:A,'Data Analytics rawData'!D:D)</f>
        <v>16</v>
      </c>
      <c r="G65" s="18">
        <f t="array" ref="G65">XLOOKUP(B65,'Data Analytics rawData'!A:A,'Data Analytics rawData'!E:E)</f>
        <v>7984.000021</v>
      </c>
      <c r="H65" s="43">
        <f t="array" ref="H65">XLOOKUP(B65,'Data Analytics rawData'!A:A,'Data Analytics rawData'!B:B)</f>
        <v>272</v>
      </c>
      <c r="I65" s="43">
        <f t="array" ref="I65">XLOOKUP(B65,'Data Analytics rawData'!A:A,'Data Analytics rawData'!C:C)</f>
        <v>78</v>
      </c>
      <c r="J65" s="43">
        <f t="shared" si="5"/>
        <v>641.3100866</v>
      </c>
      <c r="K65" s="38" t="s">
        <v>93</v>
      </c>
      <c r="L65" s="38" t="s">
        <v>92</v>
      </c>
      <c r="M65" s="54">
        <f t="shared" si="6"/>
        <v>0.05298013245</v>
      </c>
    </row>
    <row r="66">
      <c r="B66" s="27" t="s">
        <v>116</v>
      </c>
      <c r="C66" s="11" t="str">
        <f t="shared" si="12"/>
        <v>DP+SFP</v>
      </c>
      <c r="D66" s="11">
        <f t="array" ref="D66">XLOOKUP(B66,'Google analytics'!A:A,'Google analytics'!F:F)</f>
        <v>110</v>
      </c>
      <c r="E66" s="43">
        <f t="shared" si="4"/>
        <v>3737.436266</v>
      </c>
      <c r="F66" s="43">
        <f t="array" ref="F66">XLOOKUP(B66,'Data Analytics rawData'!A:A,'Data Analytics rawData'!D:D)</f>
        <v>4</v>
      </c>
      <c r="G66" s="18">
        <f t="array" ref="G66">XLOOKUP(B66,'Data Analytics rawData'!A:A,'Data Analytics rawData'!E:E)</f>
        <v>3823.000048</v>
      </c>
      <c r="H66" s="43">
        <f t="array" ref="H66">XLOOKUP(B66,'Data Analytics rawData'!A:A,'Data Analytics rawData'!B:B)</f>
        <v>123</v>
      </c>
      <c r="I66" s="43">
        <f t="array" ref="I66">XLOOKUP(B66,'Data Analytics rawData'!A:A,'Data Analytics rawData'!C:C)</f>
        <v>22</v>
      </c>
      <c r="J66" s="43">
        <f t="shared" si="5"/>
        <v>934.3590665</v>
      </c>
      <c r="K66" s="38" t="s">
        <v>173</v>
      </c>
      <c r="L66" s="38" t="s">
        <v>172</v>
      </c>
      <c r="M66" s="54">
        <f t="shared" si="6"/>
        <v>0.03636363636</v>
      </c>
    </row>
    <row r="67">
      <c r="B67" s="27" t="s">
        <v>118</v>
      </c>
      <c r="C67" s="29" t="s">
        <v>117</v>
      </c>
      <c r="D67" s="11">
        <f t="array" ref="D67">XLOOKUP(B67,'Google analytics'!A:A,'Google analytics'!F:F)</f>
        <v>560</v>
      </c>
      <c r="E67" s="43">
        <f t="shared" si="4"/>
        <v>19026.94826</v>
      </c>
      <c r="F67" s="43">
        <f t="array" ref="F67">XLOOKUP(B67,'Data Analytics rawData'!A:A,'Data Analytics rawData'!D:D)</f>
        <v>10</v>
      </c>
      <c r="G67" s="18">
        <f t="array" ref="G67">XLOOKUP(B67,'Data Analytics rawData'!A:A,'Data Analytics rawData'!E:E)</f>
        <v>5519.999897</v>
      </c>
      <c r="H67" s="43">
        <f t="array" ref="H67">XLOOKUP(B67,'Data Analytics rawData'!A:A,'Data Analytics rawData'!B:B)</f>
        <v>571</v>
      </c>
      <c r="I67" s="43">
        <f t="array" ref="I67">XLOOKUP(B67,'Data Analytics rawData'!A:A,'Data Analytics rawData'!C:C)</f>
        <v>67</v>
      </c>
      <c r="J67" s="43">
        <f t="shared" si="5"/>
        <v>1902.694826</v>
      </c>
      <c r="K67" s="38" t="s">
        <v>99</v>
      </c>
      <c r="L67" s="38" t="s">
        <v>98</v>
      </c>
      <c r="M67" s="54">
        <f t="shared" si="6"/>
        <v>0.01785714286</v>
      </c>
    </row>
    <row r="68">
      <c r="B68" s="27" t="s">
        <v>120</v>
      </c>
      <c r="C68" s="11" t="str">
        <f t="shared" ref="C68:C87" si="13">IFERROR(VLOOKUP(B68,K:L,2,0),"NA")</f>
        <v>Puzzle Kit</v>
      </c>
      <c r="D68" s="11">
        <f t="array" ref="D68">XLOOKUP(B68,'Google analytics'!A:A,'Google analytics'!F:F)</f>
        <v>351</v>
      </c>
      <c r="E68" s="43">
        <f t="shared" si="4"/>
        <v>11925.81936</v>
      </c>
      <c r="F68" s="43">
        <f t="array" ref="F68">XLOOKUP(B68,'Data Analytics rawData'!A:A,'Data Analytics rawData'!D:D)</f>
        <v>7</v>
      </c>
      <c r="G68" s="18">
        <f t="array" ref="G68">XLOOKUP(B68,'Data Analytics rawData'!A:A,'Data Analytics rawData'!E:E)</f>
        <v>6433.000059</v>
      </c>
      <c r="H68" s="43">
        <f t="array" ref="H68">XLOOKUP(B68,'Data Analytics rawData'!A:A,'Data Analytics rawData'!B:B)</f>
        <v>368</v>
      </c>
      <c r="I68" s="43">
        <f t="array" ref="I68">XLOOKUP(B68,'Data Analytics rawData'!A:A,'Data Analytics rawData'!C:C)</f>
        <v>12</v>
      </c>
      <c r="J68" s="43">
        <f t="shared" si="5"/>
        <v>1703.68848</v>
      </c>
      <c r="K68" s="38" t="s">
        <v>124</v>
      </c>
      <c r="L68" s="38" t="s">
        <v>123</v>
      </c>
      <c r="M68" s="54">
        <f t="shared" si="6"/>
        <v>0.01994301994</v>
      </c>
    </row>
    <row r="69">
      <c r="B69" s="27" t="s">
        <v>122</v>
      </c>
      <c r="C69" s="11" t="str">
        <f t="shared" si="13"/>
        <v>Dino Kit</v>
      </c>
      <c r="D69" s="11">
        <f t="array" ref="D69">XLOOKUP(B69,'Google analytics'!A:A,'Google analytics'!F:F)</f>
        <v>843</v>
      </c>
      <c r="E69" s="43">
        <f t="shared" si="4"/>
        <v>28642.35248</v>
      </c>
      <c r="F69" s="43">
        <f t="array" ref="F69">XLOOKUP(B69,'Data Analytics rawData'!A:A,'Data Analytics rawData'!D:D)</f>
        <v>16</v>
      </c>
      <c r="G69" s="18">
        <f t="array" ref="G69">XLOOKUP(B69,'Data Analytics rawData'!A:A,'Data Analytics rawData'!E:E)</f>
        <v>10552.00022</v>
      </c>
      <c r="H69" s="43">
        <f t="array" ref="H69">XLOOKUP(B69,'Data Analytics rawData'!A:A,'Data Analytics rawData'!B:B)</f>
        <v>897</v>
      </c>
      <c r="I69" s="43">
        <f t="array" ref="I69">XLOOKUP(B69,'Data Analytics rawData'!A:A,'Data Analytics rawData'!C:C)</f>
        <v>38</v>
      </c>
      <c r="J69" s="43">
        <f t="shared" si="5"/>
        <v>1790.14703</v>
      </c>
      <c r="K69" s="38" t="s">
        <v>128</v>
      </c>
      <c r="L69" s="38" t="s">
        <v>127</v>
      </c>
      <c r="M69" s="54">
        <f t="shared" si="6"/>
        <v>0.01897983393</v>
      </c>
    </row>
    <row r="70">
      <c r="B70" s="27" t="s">
        <v>124</v>
      </c>
      <c r="C70" s="11" t="str">
        <f t="shared" si="13"/>
        <v>A1 Kit</v>
      </c>
      <c r="D70" s="11">
        <f t="array" ref="D70">XLOOKUP(B70,'Google analytics'!A:A,'Google analytics'!F:F)</f>
        <v>313</v>
      </c>
      <c r="E70" s="43">
        <f t="shared" si="4"/>
        <v>10634.70501</v>
      </c>
      <c r="F70" s="43">
        <f t="array" ref="F70">XLOOKUP(B70,'Data Analytics rawData'!A:A,'Data Analytics rawData'!D:D)</f>
        <v>18</v>
      </c>
      <c r="G70" s="18">
        <f t="array" ref="G70">XLOOKUP(B70,'Data Analytics rawData'!A:A,'Data Analytics rawData'!E:E)</f>
        <v>8620.000152</v>
      </c>
      <c r="H70" s="43">
        <f t="array" ref="H70">XLOOKUP(B70,'Data Analytics rawData'!A:A,'Data Analytics rawData'!B:B)</f>
        <v>309</v>
      </c>
      <c r="I70" s="43">
        <f t="array" ref="I70">XLOOKUP(B70,'Data Analytics rawData'!A:A,'Data Analytics rawData'!C:C)</f>
        <v>69</v>
      </c>
      <c r="J70" s="43">
        <f t="shared" si="5"/>
        <v>590.8169451</v>
      </c>
      <c r="K70" s="38" t="s">
        <v>120</v>
      </c>
      <c r="L70" s="38" t="s">
        <v>119</v>
      </c>
      <c r="M70" s="54">
        <f t="shared" si="6"/>
        <v>0.05750798722</v>
      </c>
    </row>
    <row r="71">
      <c r="B71" s="27" t="s">
        <v>126</v>
      </c>
      <c r="C71" s="11" t="str">
        <f t="shared" si="13"/>
        <v>FP8+CB+Apron</v>
      </c>
      <c r="D71" s="11">
        <f t="array" ref="D71">XLOOKUP(B71,'Google analytics'!A:A,'Google analytics'!F:F)</f>
        <v>100</v>
      </c>
      <c r="E71" s="43">
        <f t="shared" si="4"/>
        <v>3397.669333</v>
      </c>
      <c r="F71" s="43">
        <f t="array" ref="F71">XLOOKUP(B71,'Data Analytics rawData'!A:A,'Data Analytics rawData'!D:D)</f>
        <v>1</v>
      </c>
      <c r="G71" s="18">
        <f t="array" ref="G71">XLOOKUP(B71,'Data Analytics rawData'!A:A,'Data Analytics rawData'!E:E)</f>
        <v>2103.999994</v>
      </c>
      <c r="H71" s="43">
        <f t="array" ref="H71">XLOOKUP(B71,'Data Analytics rawData'!A:A,'Data Analytics rawData'!B:B)</f>
        <v>107</v>
      </c>
      <c r="I71" s="43">
        <f t="array" ref="I71">XLOOKUP(B71,'Data Analytics rawData'!A:A,'Data Analytics rawData'!C:C)</f>
        <v>9</v>
      </c>
      <c r="J71" s="43">
        <f t="shared" si="5"/>
        <v>3397.669333</v>
      </c>
      <c r="K71" s="38" t="s">
        <v>114</v>
      </c>
      <c r="L71" s="38" t="s">
        <v>113</v>
      </c>
      <c r="M71" s="54">
        <f t="shared" si="6"/>
        <v>0.01</v>
      </c>
    </row>
    <row r="72">
      <c r="B72" s="27" t="s">
        <v>128</v>
      </c>
      <c r="C72" s="11" t="str">
        <f t="shared" si="13"/>
        <v>Unicorn Kit</v>
      </c>
      <c r="D72" s="11">
        <f t="array" ref="D72">XLOOKUP(B72,'Google analytics'!A:A,'Google analytics'!F:F)</f>
        <v>341</v>
      </c>
      <c r="E72" s="43">
        <f t="shared" si="4"/>
        <v>11586.05242</v>
      </c>
      <c r="F72" s="43">
        <f t="array" ref="F72">XLOOKUP(B72,'Data Analytics rawData'!A:A,'Data Analytics rawData'!D:D)</f>
        <v>9</v>
      </c>
      <c r="G72" s="18">
        <f t="array" ref="G72">XLOOKUP(B72,'Data Analytics rawData'!A:A,'Data Analytics rawData'!E:E)</f>
        <v>6462.000108</v>
      </c>
      <c r="H72" s="43">
        <f t="array" ref="H72">XLOOKUP(B72,'Data Analytics rawData'!A:A,'Data Analytics rawData'!B:B)</f>
        <v>349</v>
      </c>
      <c r="I72" s="43">
        <f t="array" ref="I72">XLOOKUP(B72,'Data Analytics rawData'!A:A,'Data Analytics rawData'!C:C)</f>
        <v>22</v>
      </c>
      <c r="J72" s="43">
        <f t="shared" si="5"/>
        <v>1287.339158</v>
      </c>
      <c r="K72" s="38" t="s">
        <v>122</v>
      </c>
      <c r="L72" s="38" t="s">
        <v>121</v>
      </c>
      <c r="M72" s="54">
        <f t="shared" si="6"/>
        <v>0.02639296188</v>
      </c>
    </row>
    <row r="73">
      <c r="B73" s="27" t="s">
        <v>130</v>
      </c>
      <c r="C73" s="11" t="str">
        <f t="shared" si="13"/>
        <v>A1 Kit+B8</v>
      </c>
      <c r="D73" s="11">
        <f t="array" ref="D73">XLOOKUP(B73,'Google analytics'!A:A,'Google analytics'!F:F)</f>
        <v>178</v>
      </c>
      <c r="E73" s="43">
        <f t="shared" si="4"/>
        <v>6047.851412</v>
      </c>
      <c r="F73" s="43">
        <f t="array" ref="F73">XLOOKUP(B73,'Data Analytics rawData'!A:A,'Data Analytics rawData'!D:D)</f>
        <v>2</v>
      </c>
      <c r="G73" s="18">
        <f t="array" ref="G73">XLOOKUP(B73,'Data Analytics rawData'!A:A,'Data Analytics rawData'!E:E)</f>
        <v>1993.999997</v>
      </c>
      <c r="H73" s="43">
        <f t="array" ref="H73">XLOOKUP(B73,'Data Analytics rawData'!A:A,'Data Analytics rawData'!B:B)</f>
        <v>198</v>
      </c>
      <c r="I73" s="43">
        <f t="array" ref="I73">XLOOKUP(B73,'Data Analytics rawData'!A:A,'Data Analytics rawData'!C:C)</f>
        <v>18</v>
      </c>
      <c r="J73" s="43">
        <f t="shared" si="5"/>
        <v>3023.925706</v>
      </c>
      <c r="K73" s="38" t="s">
        <v>142</v>
      </c>
      <c r="L73" s="38" t="s">
        <v>141</v>
      </c>
      <c r="M73" s="54">
        <f t="shared" si="6"/>
        <v>0.01123595506</v>
      </c>
    </row>
    <row r="74">
      <c r="B74" s="27" t="s">
        <v>132</v>
      </c>
      <c r="C74" s="11" t="str">
        <f t="shared" si="13"/>
        <v>India Map Kit</v>
      </c>
      <c r="D74" s="11">
        <f t="array" ref="D74">XLOOKUP(B74,'Google analytics'!A:A,'Google analytics'!F:F)</f>
        <v>131</v>
      </c>
      <c r="E74" s="43">
        <f t="shared" si="4"/>
        <v>4450.946826</v>
      </c>
      <c r="F74" s="43">
        <f t="array" ref="F74">XLOOKUP(B74,'Data Analytics rawData'!A:A,'Data Analytics rawData'!D:D)</f>
        <v>4</v>
      </c>
      <c r="G74" s="18">
        <f t="array" ref="G74">XLOOKUP(B74,'Data Analytics rawData'!A:A,'Data Analytics rawData'!E:E)</f>
        <v>4280.000017</v>
      </c>
      <c r="H74" s="43">
        <f t="array" ref="H74">XLOOKUP(B74,'Data Analytics rawData'!A:A,'Data Analytics rawData'!B:B)</f>
        <v>140</v>
      </c>
      <c r="I74" s="43">
        <f t="array" ref="I74">XLOOKUP(B74,'Data Analytics rawData'!A:A,'Data Analytics rawData'!C:C)</f>
        <v>11</v>
      </c>
      <c r="J74" s="43">
        <f t="shared" si="5"/>
        <v>1112.736706</v>
      </c>
      <c r="K74" s="38" t="s">
        <v>269</v>
      </c>
      <c r="L74" s="38" t="s">
        <v>68</v>
      </c>
      <c r="M74" s="54">
        <f t="shared" si="6"/>
        <v>0.03053435115</v>
      </c>
    </row>
    <row r="75">
      <c r="B75" s="27" t="s">
        <v>134</v>
      </c>
      <c r="C75" s="11" t="str">
        <f t="shared" si="13"/>
        <v>SFP+Apron</v>
      </c>
      <c r="D75" s="11">
        <f t="array" ref="D75">XLOOKUP(B75,'Google analytics'!A:A,'Google analytics'!F:F)</f>
        <v>179</v>
      </c>
      <c r="E75" s="43">
        <f t="shared" si="4"/>
        <v>6081.828106</v>
      </c>
      <c r="F75" s="43">
        <f t="array" ref="F75">XLOOKUP(B75,'Data Analytics rawData'!A:A,'Data Analytics rawData'!D:D)</f>
        <v>14</v>
      </c>
      <c r="G75" s="18">
        <f t="array" ref="G75">XLOOKUP(B75,'Data Analytics rawData'!A:A,'Data Analytics rawData'!E:E)</f>
        <v>18726.00014</v>
      </c>
      <c r="H75" s="43">
        <f t="array" ref="H75">XLOOKUP(B75,'Data Analytics rawData'!A:A,'Data Analytics rawData'!B:B)</f>
        <v>180</v>
      </c>
      <c r="I75" s="43">
        <f t="array" ref="I75">XLOOKUP(B75,'Data Analytics rawData'!A:A,'Data Analytics rawData'!C:C)</f>
        <v>40</v>
      </c>
      <c r="J75" s="43">
        <f t="shared" si="5"/>
        <v>434.4162933</v>
      </c>
      <c r="K75" s="38" t="s">
        <v>270</v>
      </c>
      <c r="L75" s="38" t="s">
        <v>147</v>
      </c>
      <c r="M75" s="54">
        <f t="shared" si="6"/>
        <v>0.0782122905</v>
      </c>
    </row>
    <row r="76">
      <c r="B76" s="27" t="s">
        <v>136</v>
      </c>
      <c r="C76" s="11" t="str">
        <f t="shared" si="13"/>
        <v>FP8+Canvs</v>
      </c>
      <c r="D76" s="11">
        <f t="array" ref="D76">XLOOKUP(B76,'Google analytics'!A:A,'Google analytics'!F:F)</f>
        <v>122</v>
      </c>
      <c r="E76" s="43">
        <f t="shared" si="4"/>
        <v>4145.156586</v>
      </c>
      <c r="F76" s="43">
        <f t="array" ref="F76">XLOOKUP(B76,'Data Analytics rawData'!A:A,'Data Analytics rawData'!D:D)</f>
        <v>4</v>
      </c>
      <c r="G76" s="18">
        <f t="array" ref="G76">XLOOKUP(B76,'Data Analytics rawData'!A:A,'Data Analytics rawData'!E:E)</f>
        <v>4202.000013</v>
      </c>
      <c r="H76" s="43">
        <f t="array" ref="H76">XLOOKUP(B76,'Data Analytics rawData'!A:A,'Data Analytics rawData'!B:B)</f>
        <v>131</v>
      </c>
      <c r="I76" s="43">
        <f t="array" ref="I76">XLOOKUP(B76,'Data Analytics rawData'!A:A,'Data Analytics rawData'!C:C)</f>
        <v>26</v>
      </c>
      <c r="J76" s="43">
        <f t="shared" si="5"/>
        <v>1036.289146</v>
      </c>
      <c r="K76" s="38" t="s">
        <v>112</v>
      </c>
      <c r="L76" s="38" t="s">
        <v>111</v>
      </c>
      <c r="M76" s="54">
        <f t="shared" si="6"/>
        <v>0.03278688525</v>
      </c>
    </row>
    <row r="77">
      <c r="B77" s="27" t="s">
        <v>138</v>
      </c>
      <c r="C77" s="11" t="str">
        <f t="shared" si="13"/>
        <v>SFP+CB+Canvas</v>
      </c>
      <c r="D77" s="11">
        <f t="array" ref="D77">XLOOKUP(B77,'Google analytics'!A:A,'Google analytics'!F:F)</f>
        <v>103</v>
      </c>
      <c r="E77" s="43">
        <f t="shared" si="4"/>
        <v>3499.599413</v>
      </c>
      <c r="F77" s="43">
        <f t="array" ref="F77">XLOOKUP(B77,'Data Analytics rawData'!A:A,'Data Analytics rawData'!D:D)</f>
        <v>4</v>
      </c>
      <c r="G77" s="18">
        <f t="array" ref="G77">XLOOKUP(B77,'Data Analytics rawData'!A:A,'Data Analytics rawData'!E:E)</f>
        <v>4778.000032</v>
      </c>
      <c r="H77" s="43">
        <f t="array" ref="H77">XLOOKUP(B77,'Data Analytics rawData'!A:A,'Data Analytics rawData'!B:B)</f>
        <v>123</v>
      </c>
      <c r="I77" s="43">
        <f t="array" ref="I77">XLOOKUP(B77,'Data Analytics rawData'!A:A,'Data Analytics rawData'!C:C)</f>
        <v>16</v>
      </c>
      <c r="J77" s="43">
        <f t="shared" si="5"/>
        <v>874.8998532</v>
      </c>
      <c r="K77" s="38" t="s">
        <v>271</v>
      </c>
      <c r="L77" s="38" t="s">
        <v>265</v>
      </c>
      <c r="M77" s="54">
        <f t="shared" si="6"/>
        <v>0.03883495146</v>
      </c>
    </row>
    <row r="78">
      <c r="B78" s="27" t="s">
        <v>140</v>
      </c>
      <c r="C78" s="11" t="str">
        <f t="shared" si="13"/>
        <v>Activity Pack</v>
      </c>
      <c r="D78" s="11">
        <f t="array" ref="D78">XLOOKUP(B78,'Google analytics'!A:A,'Google analytics'!F:F)</f>
        <v>1448</v>
      </c>
      <c r="E78" s="43">
        <f t="shared" si="4"/>
        <v>49198.25194</v>
      </c>
      <c r="F78" s="43">
        <f t="array" ref="F78">XLOOKUP(B78,'Data Analytics rawData'!A:A,'Data Analytics rawData'!D:D)</f>
        <v>40</v>
      </c>
      <c r="G78" s="18">
        <f t="array" ref="G78">XLOOKUP(B78,'Data Analytics rawData'!A:A,'Data Analytics rawData'!E:E)</f>
        <v>3960.000064</v>
      </c>
      <c r="H78" s="43">
        <f t="array" ref="H78">XLOOKUP(B78,'Data Analytics rawData'!A:A,'Data Analytics rawData'!B:B)</f>
        <v>1518</v>
      </c>
      <c r="I78" s="43">
        <f t="array" ref="I78">XLOOKUP(B78,'Data Analytics rawData'!A:A,'Data Analytics rawData'!C:C)</f>
        <v>247</v>
      </c>
      <c r="J78" s="43">
        <f t="shared" si="5"/>
        <v>1229.956298</v>
      </c>
      <c r="K78" s="38" t="s">
        <v>272</v>
      </c>
      <c r="L78" s="38" t="s">
        <v>227</v>
      </c>
      <c r="M78" s="54">
        <f t="shared" si="6"/>
        <v>0.02762430939</v>
      </c>
    </row>
    <row r="79">
      <c r="B79" s="27" t="s">
        <v>142</v>
      </c>
      <c r="C79" s="11" t="str">
        <f t="shared" si="13"/>
        <v>Glue</v>
      </c>
      <c r="D79" s="11">
        <f t="array" ref="D79">XLOOKUP(B79,'Google analytics'!A:A,'Google analytics'!F:F)</f>
        <v>215</v>
      </c>
      <c r="E79" s="43">
        <f t="shared" si="4"/>
        <v>7304.989065</v>
      </c>
      <c r="F79" s="43">
        <f t="array" ref="F79">XLOOKUP(B79,'Data Analytics rawData'!A:A,'Data Analytics rawData'!D:D)</f>
        <v>25</v>
      </c>
      <c r="G79" s="18">
        <f t="array" ref="G79">XLOOKUP(B79,'Data Analytics rawData'!A:A,'Data Analytics rawData'!E:E)</f>
        <v>8725.000082</v>
      </c>
      <c r="H79" s="43">
        <f t="array" ref="H79">XLOOKUP(B79,'Data Analytics rawData'!A:A,'Data Analytics rawData'!B:B)</f>
        <v>190</v>
      </c>
      <c r="I79" s="43">
        <f t="array" ref="I79">XLOOKUP(B79,'Data Analytics rawData'!A:A,'Data Analytics rawData'!C:C)</f>
        <v>66</v>
      </c>
      <c r="J79" s="43">
        <f t="shared" si="5"/>
        <v>292.1995626</v>
      </c>
      <c r="K79" s="38" t="s">
        <v>200</v>
      </c>
      <c r="L79" s="38" t="s">
        <v>199</v>
      </c>
      <c r="M79" s="54">
        <f t="shared" si="6"/>
        <v>0.1162790698</v>
      </c>
    </row>
    <row r="80">
      <c r="B80" s="27" t="s">
        <v>144</v>
      </c>
      <c r="C80" s="11" t="str">
        <f t="shared" si="13"/>
        <v>SFP+CB+Apron</v>
      </c>
      <c r="D80" s="11">
        <f t="array" ref="D80">XLOOKUP(B80,'Google analytics'!A:A,'Google analytics'!F:F)</f>
        <v>68</v>
      </c>
      <c r="E80" s="43">
        <f t="shared" si="4"/>
        <v>2310.415146</v>
      </c>
      <c r="F80" s="43">
        <f t="array" ref="F80">XLOOKUP(B80,'Data Analytics rawData'!A:A,'Data Analytics rawData'!D:D)</f>
        <v>1</v>
      </c>
      <c r="G80" s="18">
        <f t="array" ref="G80">XLOOKUP(B80,'Data Analytics rawData'!A:A,'Data Analytics rawData'!E:E)</f>
        <v>1810.000008</v>
      </c>
      <c r="H80" s="43">
        <f t="array" ref="H80">XLOOKUP(B80,'Data Analytics rawData'!A:A,'Data Analytics rawData'!B:B)</f>
        <v>79</v>
      </c>
      <c r="I80" s="43">
        <f t="array" ref="I80">XLOOKUP(B80,'Data Analytics rawData'!A:A,'Data Analytics rawData'!C:C)</f>
        <v>8</v>
      </c>
      <c r="J80" s="43">
        <f t="shared" si="5"/>
        <v>2310.415146</v>
      </c>
      <c r="K80" s="38" t="s">
        <v>136</v>
      </c>
      <c r="L80" s="38" t="s">
        <v>135</v>
      </c>
      <c r="M80" s="54">
        <f t="shared" si="6"/>
        <v>0.01470588235</v>
      </c>
    </row>
    <row r="81">
      <c r="B81" s="27" t="s">
        <v>146</v>
      </c>
      <c r="C81" s="11" t="str">
        <f t="shared" si="13"/>
        <v>Dino+B8</v>
      </c>
      <c r="D81" s="11">
        <f t="array" ref="D81">XLOOKUP(B81,'Google analytics'!A:A,'Google analytics'!F:F)</f>
        <v>58</v>
      </c>
      <c r="E81" s="43">
        <f t="shared" si="4"/>
        <v>1970.648213</v>
      </c>
      <c r="F81" s="43">
        <f t="array" ref="F81">XLOOKUP(B81,'Data Analytics rawData'!A:A,'Data Analytics rawData'!D:D)</f>
        <v>0</v>
      </c>
      <c r="G81" s="18">
        <f t="array" ref="G81">XLOOKUP(B81,'Data Analytics rawData'!A:A,'Data Analytics rawData'!E:E)</f>
        <v>0</v>
      </c>
      <c r="H81" s="43">
        <f t="array" ref="H81">XLOOKUP(B81,'Data Analytics rawData'!A:A,'Data Analytics rawData'!B:B)</f>
        <v>60</v>
      </c>
      <c r="I81" s="43">
        <f t="array" ref="I81">XLOOKUP(B81,'Data Analytics rawData'!A:A,'Data Analytics rawData'!C:C)</f>
        <v>3</v>
      </c>
      <c r="J81" s="43" t="str">
        <f t="shared" si="5"/>
        <v>#DIV/0!</v>
      </c>
      <c r="K81" s="38" t="s">
        <v>130</v>
      </c>
      <c r="L81" s="38" t="s">
        <v>129</v>
      </c>
      <c r="M81" s="54">
        <f t="shared" si="6"/>
        <v>0</v>
      </c>
    </row>
    <row r="82">
      <c r="B82" s="27" t="s">
        <v>148</v>
      </c>
      <c r="C82" s="11" t="str">
        <f t="shared" si="13"/>
        <v>NA</v>
      </c>
      <c r="D82" s="11">
        <f t="array" ref="D82">XLOOKUP(B82,'Google analytics'!A:A,'Google analytics'!F:F)</f>
        <v>302</v>
      </c>
      <c r="E82" s="43">
        <f t="shared" si="4"/>
        <v>10260.96138</v>
      </c>
      <c r="F82" s="43">
        <f t="array" ref="F82">XLOOKUP(B82,'Data Analytics rawData'!A:A,'Data Analytics rawData'!D:D)</f>
        <v>8</v>
      </c>
      <c r="G82" s="18">
        <f t="array" ref="G82">XLOOKUP(B82,'Data Analytics rawData'!A:A,'Data Analytics rawData'!E:E)</f>
        <v>8358.999938</v>
      </c>
      <c r="H82" s="43">
        <f t="array" ref="H82">XLOOKUP(B82,'Data Analytics rawData'!A:A,'Data Analytics rawData'!B:B)</f>
        <v>322</v>
      </c>
      <c r="I82" s="43">
        <f t="array" ref="I82">XLOOKUP(B82,'Data Analytics rawData'!A:A,'Data Analytics rawData'!C:C)</f>
        <v>37</v>
      </c>
      <c r="J82" s="43">
        <f t="shared" si="5"/>
        <v>1282.620173</v>
      </c>
      <c r="K82" s="38" t="s">
        <v>156</v>
      </c>
      <c r="L82" s="38" t="s">
        <v>155</v>
      </c>
      <c r="M82" s="54">
        <f t="shared" si="6"/>
        <v>0.02649006623</v>
      </c>
    </row>
    <row r="83">
      <c r="B83" s="27" t="s">
        <v>150</v>
      </c>
      <c r="C83" s="11" t="str">
        <f t="shared" si="13"/>
        <v>FP3+CB</v>
      </c>
      <c r="D83" s="11">
        <f t="array" ref="D83">XLOOKUP(B83,'Google analytics'!A:A,'Google analytics'!F:F)</f>
        <v>78</v>
      </c>
      <c r="E83" s="43">
        <f t="shared" si="4"/>
        <v>2650.18208</v>
      </c>
      <c r="F83" s="43">
        <f t="array" ref="F83">XLOOKUP(B83,'Data Analytics rawData'!A:A,'Data Analytics rawData'!D:D)</f>
        <v>5</v>
      </c>
      <c r="G83" s="18">
        <f t="array" ref="G83">XLOOKUP(B83,'Data Analytics rawData'!A:A,'Data Analytics rawData'!E:E)</f>
        <v>5236.999978</v>
      </c>
      <c r="H83" s="43">
        <f t="array" ref="H83">XLOOKUP(B83,'Data Analytics rawData'!A:A,'Data Analytics rawData'!B:B)</f>
        <v>88</v>
      </c>
      <c r="I83" s="43">
        <f t="array" ref="I83">XLOOKUP(B83,'Data Analytics rawData'!A:A,'Data Analytics rawData'!C:C)</f>
        <v>16</v>
      </c>
      <c r="J83" s="43">
        <f t="shared" si="5"/>
        <v>530.0364159</v>
      </c>
      <c r="K83" s="38" t="s">
        <v>132</v>
      </c>
      <c r="L83" s="38" t="s">
        <v>131</v>
      </c>
      <c r="M83" s="54">
        <f t="shared" si="6"/>
        <v>0.0641025641</v>
      </c>
    </row>
    <row r="84">
      <c r="B84" s="27" t="s">
        <v>152</v>
      </c>
      <c r="C84" s="11" t="str">
        <f t="shared" si="13"/>
        <v>FP3+Glue+AR+B3</v>
      </c>
      <c r="D84" s="11">
        <f t="array" ref="D84">XLOOKUP(B84,'Google analytics'!A:A,'Google analytics'!F:F)</f>
        <v>105</v>
      </c>
      <c r="E84" s="43">
        <f t="shared" si="4"/>
        <v>3567.552799</v>
      </c>
      <c r="F84" s="43">
        <f t="array" ref="F84">XLOOKUP(B84,'Data Analytics rawData'!A:A,'Data Analytics rawData'!D:D)</f>
        <v>0</v>
      </c>
      <c r="G84" s="18">
        <f t="array" ref="G84">XLOOKUP(B84,'Data Analytics rawData'!A:A,'Data Analytics rawData'!E:E)</f>
        <v>0</v>
      </c>
      <c r="H84" s="43">
        <f t="array" ref="H84">XLOOKUP(B84,'Data Analytics rawData'!A:A,'Data Analytics rawData'!B:B)</f>
        <v>111</v>
      </c>
      <c r="I84" s="43">
        <f t="array" ref="I84">XLOOKUP(B84,'Data Analytics rawData'!A:A,'Data Analytics rawData'!C:C)</f>
        <v>8</v>
      </c>
      <c r="J84" s="43" t="str">
        <f t="shared" si="5"/>
        <v>#DIV/0!</v>
      </c>
      <c r="K84" s="38" t="s">
        <v>152</v>
      </c>
      <c r="L84" s="38" t="s">
        <v>151</v>
      </c>
      <c r="M84" s="54">
        <f t="shared" si="6"/>
        <v>0</v>
      </c>
    </row>
    <row r="85">
      <c r="B85" s="27" t="s">
        <v>154</v>
      </c>
      <c r="C85" s="11" t="str">
        <f t="shared" si="13"/>
        <v>CC8+DP</v>
      </c>
      <c r="D85" s="29" t="s">
        <v>63</v>
      </c>
      <c r="E85" s="43" t="str">
        <f t="shared" si="4"/>
        <v>#VALUE!</v>
      </c>
      <c r="F85" s="44" t="s">
        <v>63</v>
      </c>
      <c r="G85" s="43" t="str">
        <f t="array" ref="G85">XLOOKUP(B85,'Data Analytics rawData'!A:A,'Data Analytics rawData'!E:E)</f>
        <v>#N/A</v>
      </c>
      <c r="H85" s="43" t="str">
        <f t="array" ref="H85">XLOOKUP(B85,'Data Analytics rawData'!A:A,'Data Analytics rawData'!B:B)</f>
        <v>#N/A</v>
      </c>
      <c r="I85" s="43" t="str">
        <f t="array" ref="I85">XLOOKUP(B85,'Data Analytics rawData'!A:A,'Data Analytics rawData'!C:C)</f>
        <v>#N/A</v>
      </c>
      <c r="J85" s="43" t="str">
        <f t="shared" si="5"/>
        <v>#VALUE!</v>
      </c>
      <c r="K85" s="38" t="s">
        <v>154</v>
      </c>
      <c r="L85" s="38" t="s">
        <v>153</v>
      </c>
      <c r="M85" s="54" t="str">
        <f t="shared" si="6"/>
        <v>#VALUE!</v>
      </c>
    </row>
    <row r="86">
      <c r="B86" s="27" t="s">
        <v>156</v>
      </c>
      <c r="C86" s="11" t="str">
        <f t="shared" si="13"/>
        <v>SFP+AR+Apron</v>
      </c>
      <c r="D86" s="11">
        <f t="array" ref="D86">XLOOKUP(B86,'Google analytics'!A:A,'Google analytics'!F:F)</f>
        <v>87</v>
      </c>
      <c r="E86" s="43">
        <f t="shared" si="4"/>
        <v>2955.97232</v>
      </c>
      <c r="F86" s="43">
        <f t="array" ref="F86">XLOOKUP(B86,'Data Analytics rawData'!A:A,'Data Analytics rawData'!D:D)</f>
        <v>1</v>
      </c>
      <c r="G86" s="18">
        <f t="array" ref="G86">XLOOKUP(B86,'Data Analytics rawData'!A:A,'Data Analytics rawData'!E:E)</f>
        <v>1711.999963</v>
      </c>
      <c r="H86" s="43">
        <f t="array" ref="H86">XLOOKUP(B86,'Data Analytics rawData'!A:A,'Data Analytics rawData'!B:B)</f>
        <v>96</v>
      </c>
      <c r="I86" s="43">
        <f t="array" ref="I86">XLOOKUP(B86,'Data Analytics rawData'!A:A,'Data Analytics rawData'!C:C)</f>
        <v>7</v>
      </c>
      <c r="J86" s="43">
        <f t="shared" si="5"/>
        <v>2955.97232</v>
      </c>
      <c r="K86" s="38" t="s">
        <v>116</v>
      </c>
      <c r="L86" s="38" t="s">
        <v>115</v>
      </c>
      <c r="M86" s="54">
        <f t="shared" si="6"/>
        <v>0.01149425287</v>
      </c>
    </row>
    <row r="87">
      <c r="B87" s="27" t="s">
        <v>158</v>
      </c>
      <c r="C87" s="11" t="str">
        <f t="shared" si="13"/>
        <v>Glue+FP3+B8</v>
      </c>
      <c r="D87" s="11">
        <f t="array" ref="D87">XLOOKUP(B87,'Google analytics'!A:A,'Google analytics'!F:F)</f>
        <v>98</v>
      </c>
      <c r="E87" s="43">
        <f t="shared" si="4"/>
        <v>3329.715946</v>
      </c>
      <c r="F87" s="43">
        <f t="array" ref="F87">XLOOKUP(B87,'Data Analytics rawData'!A:A,'Data Analytics rawData'!D:D)</f>
        <v>1</v>
      </c>
      <c r="G87" s="18">
        <f t="array" ref="G87">XLOOKUP(B87,'Data Analytics rawData'!A:A,'Data Analytics rawData'!E:E)</f>
        <v>1418.000034</v>
      </c>
      <c r="H87" s="43">
        <f t="array" ref="H87">XLOOKUP(B87,'Data Analytics rawData'!A:A,'Data Analytics rawData'!B:B)</f>
        <v>108</v>
      </c>
      <c r="I87" s="43">
        <f t="array" ref="I87">XLOOKUP(B87,'Data Analytics rawData'!A:A,'Data Analytics rawData'!C:C)</f>
        <v>6</v>
      </c>
      <c r="J87" s="43">
        <f t="shared" si="5"/>
        <v>3329.715946</v>
      </c>
      <c r="K87" s="38" t="s">
        <v>273</v>
      </c>
      <c r="L87" s="38" t="s">
        <v>274</v>
      </c>
      <c r="M87" s="54">
        <f t="shared" si="6"/>
        <v>0.01020408163</v>
      </c>
    </row>
    <row r="88">
      <c r="B88" s="27" t="s">
        <v>160</v>
      </c>
      <c r="C88" s="29" t="s">
        <v>159</v>
      </c>
      <c r="D88" s="11">
        <f t="array" ref="D88">XLOOKUP(B88,'Google analytics'!A:A,'Google analytics'!F:F)</f>
        <v>183</v>
      </c>
      <c r="E88" s="43">
        <f t="shared" si="4"/>
        <v>6217.734879</v>
      </c>
      <c r="F88" s="43">
        <f t="array" ref="F88">XLOOKUP(B88,'Data Analytics rawData'!A:A,'Data Analytics rawData'!D:D)</f>
        <v>105</v>
      </c>
      <c r="G88" s="18">
        <f t="array" ref="G88">XLOOKUP(B88,'Data Analytics rawData'!A:A,'Data Analytics rawData'!E:E)</f>
        <v>14111.99951</v>
      </c>
      <c r="H88" s="43">
        <f t="array" ref="H88">XLOOKUP(B88,'Data Analytics rawData'!A:A,'Data Analytics rawData'!B:B)</f>
        <v>0</v>
      </c>
      <c r="I88" s="43">
        <f t="array" ref="I88">XLOOKUP(B88,'Data Analytics rawData'!A:A,'Data Analytics rawData'!C:C)</f>
        <v>0</v>
      </c>
      <c r="J88" s="43">
        <f t="shared" si="5"/>
        <v>59.21652266</v>
      </c>
      <c r="K88" s="38" t="s">
        <v>182</v>
      </c>
      <c r="L88" s="38" t="s">
        <v>181</v>
      </c>
      <c r="M88" s="54">
        <f t="shared" si="6"/>
        <v>0.5737704918</v>
      </c>
    </row>
    <row r="89">
      <c r="B89" s="27" t="s">
        <v>162</v>
      </c>
      <c r="C89" s="11" t="str">
        <f t="shared" ref="C89:C108" si="14">IFERROR(VLOOKUP(B89,K:L,2,0),"NA")</f>
        <v>FF Unicorn + Dino</v>
      </c>
      <c r="D89" s="11">
        <f t="array" ref="D89">XLOOKUP(B89,'Google analytics'!A:A,'Google analytics'!F:F)</f>
        <v>196</v>
      </c>
      <c r="E89" s="43">
        <f t="shared" si="4"/>
        <v>6659.431892</v>
      </c>
      <c r="F89" s="43">
        <f t="array" ref="F89">XLOOKUP(B89,'Data Analytics rawData'!A:A,'Data Analytics rawData'!D:D)</f>
        <v>3</v>
      </c>
      <c r="G89" s="18">
        <f t="array" ref="G89">XLOOKUP(B89,'Data Analytics rawData'!A:A,'Data Analytics rawData'!E:E)</f>
        <v>2534.999936</v>
      </c>
      <c r="H89" s="43">
        <f t="array" ref="H89">XLOOKUP(B89,'Data Analytics rawData'!A:A,'Data Analytics rawData'!B:B)</f>
        <v>201</v>
      </c>
      <c r="I89" s="43">
        <f t="array" ref="I89">XLOOKUP(B89,'Data Analytics rawData'!A:A,'Data Analytics rawData'!C:C)</f>
        <v>10</v>
      </c>
      <c r="J89" s="43">
        <f t="shared" si="5"/>
        <v>2219.810631</v>
      </c>
      <c r="K89" s="38" t="s">
        <v>138</v>
      </c>
      <c r="L89" s="38" t="s">
        <v>137</v>
      </c>
      <c r="M89" s="54">
        <f t="shared" si="6"/>
        <v>0.01530612245</v>
      </c>
    </row>
    <row r="90">
      <c r="B90" s="27" t="s">
        <v>164</v>
      </c>
      <c r="C90" s="11" t="str">
        <f t="shared" si="14"/>
        <v>FF Unicorn</v>
      </c>
      <c r="D90" s="11">
        <f t="array" ref="D90">XLOOKUP(B90,'Google analytics'!A:A,'Google analytics'!F:F)</f>
        <v>126</v>
      </c>
      <c r="E90" s="43">
        <f t="shared" si="4"/>
        <v>4281.063359</v>
      </c>
      <c r="F90" s="43">
        <f t="array" ref="F90">XLOOKUP(B90,'Data Analytics rawData'!A:A,'Data Analytics rawData'!D:D)</f>
        <v>0</v>
      </c>
      <c r="G90" s="18">
        <f t="array" ref="G90">XLOOKUP(B90,'Data Analytics rawData'!A:A,'Data Analytics rawData'!E:E)</f>
        <v>0</v>
      </c>
      <c r="H90" s="43">
        <f t="array" ref="H90">XLOOKUP(B90,'Data Analytics rawData'!A:A,'Data Analytics rawData'!B:B)</f>
        <v>127</v>
      </c>
      <c r="I90" s="43">
        <f t="array" ref="I90">XLOOKUP(B90,'Data Analytics rawData'!A:A,'Data Analytics rawData'!C:C)</f>
        <v>2</v>
      </c>
      <c r="J90" s="43" t="str">
        <f t="shared" si="5"/>
        <v>#DIV/0!</v>
      </c>
      <c r="K90" s="38" t="s">
        <v>167</v>
      </c>
      <c r="L90" s="38" t="s">
        <v>166</v>
      </c>
      <c r="M90" s="54">
        <f t="shared" si="6"/>
        <v>0</v>
      </c>
    </row>
    <row r="91">
      <c r="B91" s="27" t="s">
        <v>165</v>
      </c>
      <c r="C91" s="11" t="str">
        <f t="shared" si="14"/>
        <v>Activity Pack</v>
      </c>
      <c r="D91" s="11">
        <f t="array" ref="D91">XLOOKUP(B91,'Google analytics'!A:A,'Google analytics'!F:F)</f>
        <v>196</v>
      </c>
      <c r="E91" s="43">
        <f t="shared" si="4"/>
        <v>6659.431892</v>
      </c>
      <c r="F91" s="43">
        <f t="array" ref="F91">XLOOKUP(B91,'Data Analytics rawData'!A:A,'Data Analytics rawData'!D:D)</f>
        <v>8</v>
      </c>
      <c r="G91" s="18">
        <f t="array" ref="G91">XLOOKUP(B91,'Data Analytics rawData'!A:A,'Data Analytics rawData'!E:E)</f>
        <v>792.000047</v>
      </c>
      <c r="H91" s="43">
        <f t="array" ref="H91">XLOOKUP(B91,'Data Analytics rawData'!A:A,'Data Analytics rawData'!B:B)</f>
        <v>179</v>
      </c>
      <c r="I91" s="43">
        <f t="array" ref="I91">XLOOKUP(B91,'Data Analytics rawData'!A:A,'Data Analytics rawData'!C:C)</f>
        <v>51</v>
      </c>
      <c r="J91" s="43">
        <f t="shared" si="5"/>
        <v>832.4289865</v>
      </c>
      <c r="K91" s="38" t="s">
        <v>158</v>
      </c>
      <c r="L91" s="38" t="s">
        <v>157</v>
      </c>
      <c r="M91" s="54">
        <f t="shared" si="6"/>
        <v>0.04081632653</v>
      </c>
    </row>
    <row r="92">
      <c r="B92" s="27" t="s">
        <v>167</v>
      </c>
      <c r="C92" s="11" t="str">
        <f t="shared" si="14"/>
        <v>DP+Glue</v>
      </c>
      <c r="D92" s="11">
        <f t="array" ref="D92">XLOOKUP(B92,'Google analytics'!A:A,'Google analytics'!F:F)</f>
        <v>87</v>
      </c>
      <c r="E92" s="43">
        <f t="shared" si="4"/>
        <v>2955.97232</v>
      </c>
      <c r="F92" s="43">
        <f t="array" ref="F92">XLOOKUP(B92,'Data Analytics rawData'!A:A,'Data Analytics rawData'!D:D)</f>
        <v>2</v>
      </c>
      <c r="G92" s="18">
        <f t="array" ref="G92">XLOOKUP(B92,'Data Analytics rawData'!A:A,'Data Analytics rawData'!E:E)</f>
        <v>1420.000067</v>
      </c>
      <c r="H92" s="43">
        <f t="array" ref="H92">XLOOKUP(B92,'Data Analytics rawData'!A:A,'Data Analytics rawData'!B:B)</f>
        <v>91</v>
      </c>
      <c r="I92" s="43">
        <f t="array" ref="I92">XLOOKUP(B92,'Data Analytics rawData'!A:A,'Data Analytics rawData'!C:C)</f>
        <v>9</v>
      </c>
      <c r="J92" s="43">
        <f t="shared" si="5"/>
        <v>1477.98616</v>
      </c>
      <c r="K92" s="38" t="s">
        <v>230</v>
      </c>
      <c r="L92" s="38" t="s">
        <v>229</v>
      </c>
      <c r="M92" s="54">
        <f t="shared" si="6"/>
        <v>0.02298850575</v>
      </c>
    </row>
    <row r="93">
      <c r="B93" s="27" t="s">
        <v>169</v>
      </c>
      <c r="C93" s="11" t="str">
        <f t="shared" si="14"/>
        <v>ABC Crayons</v>
      </c>
      <c r="D93" s="11">
        <f t="array" ref="D93">XLOOKUP(B93,'Google analytics'!A:A,'Google analytics'!F:F)</f>
        <v>6</v>
      </c>
      <c r="E93" s="43">
        <f t="shared" si="4"/>
        <v>203.86016</v>
      </c>
      <c r="F93" s="43">
        <f t="array" ref="F93">XLOOKUP(B93,'Data Analytics rawData'!A:A,'Data Analytics rawData'!D:D)</f>
        <v>0</v>
      </c>
      <c r="G93" s="18">
        <f t="array" ref="G93">XLOOKUP(B93,'Data Analytics rawData'!A:A,'Data Analytics rawData'!E:E)</f>
        <v>0</v>
      </c>
      <c r="H93" s="43">
        <f t="array" ref="H93">XLOOKUP(B93,'Data Analytics rawData'!A:A,'Data Analytics rawData'!B:B)</f>
        <v>0</v>
      </c>
      <c r="I93" s="43">
        <f t="array" ref="I93">XLOOKUP(B93,'Data Analytics rawData'!A:A,'Data Analytics rawData'!C:C)</f>
        <v>8</v>
      </c>
      <c r="J93" s="43" t="str">
        <f t="shared" si="5"/>
        <v>#DIV/0!</v>
      </c>
      <c r="K93" s="38" t="s">
        <v>162</v>
      </c>
      <c r="L93" s="38" t="s">
        <v>161</v>
      </c>
      <c r="M93" s="54">
        <f t="shared" si="6"/>
        <v>0</v>
      </c>
    </row>
    <row r="94">
      <c r="B94" s="27" t="s">
        <v>171</v>
      </c>
      <c r="C94" s="11" t="str">
        <f t="shared" si="14"/>
        <v>FF Dino</v>
      </c>
      <c r="D94" s="11">
        <f t="array" ref="D94">XLOOKUP(B94,'Google analytics'!A:A,'Google analytics'!F:F)</f>
        <v>696</v>
      </c>
      <c r="E94" s="43">
        <f t="shared" si="4"/>
        <v>23647.77856</v>
      </c>
      <c r="F94" s="43">
        <f t="array" ref="F94">XLOOKUP(B94,'Data Analytics rawData'!A:A,'Data Analytics rawData'!D:D)</f>
        <v>181</v>
      </c>
      <c r="G94" s="18">
        <f t="array" ref="G94">XLOOKUP(B94,'Data Analytics rawData'!A:A,'Data Analytics rawData'!E:E)</f>
        <v>843.999998</v>
      </c>
      <c r="H94" s="43">
        <f t="array" ref="H94">XLOOKUP(B94,'Data Analytics rawData'!A:A,'Data Analytics rawData'!B:B)</f>
        <v>455</v>
      </c>
      <c r="I94" s="43">
        <f t="array" ref="I94">XLOOKUP(B94,'Data Analytics rawData'!A:A,'Data Analytics rawData'!C:C)</f>
        <v>12</v>
      </c>
      <c r="J94" s="43">
        <f t="shared" si="5"/>
        <v>130.6507103</v>
      </c>
      <c r="K94" s="38" t="s">
        <v>144</v>
      </c>
      <c r="L94" s="38" t="s">
        <v>143</v>
      </c>
      <c r="M94" s="54">
        <f t="shared" si="6"/>
        <v>0.2600574713</v>
      </c>
    </row>
    <row r="95">
      <c r="B95" s="27" t="s">
        <v>173</v>
      </c>
      <c r="C95" s="11" t="str">
        <f t="shared" si="14"/>
        <v>P&amp;B</v>
      </c>
      <c r="D95" s="11">
        <f t="array" ref="D95">XLOOKUP(B95,'Google analytics'!A:A,'Google analytics'!F:F)</f>
        <v>26</v>
      </c>
      <c r="E95" s="43">
        <f t="shared" si="4"/>
        <v>883.3940265</v>
      </c>
      <c r="F95" s="43">
        <f t="array" ref="F95">XLOOKUP(B95,'Data Analytics rawData'!A:A,'Data Analytics rawData'!D:D)</f>
        <v>1</v>
      </c>
      <c r="G95" s="18">
        <f t="array" ref="G95">XLOOKUP(B95,'Data Analytics rawData'!A:A,'Data Analytics rawData'!E:E)</f>
        <v>298.99998</v>
      </c>
      <c r="H95" s="43">
        <f t="array" ref="H95">XLOOKUP(B95,'Data Analytics rawData'!A:A,'Data Analytics rawData'!B:B)</f>
        <v>26</v>
      </c>
      <c r="I95" s="43">
        <f t="array" ref="I95">XLOOKUP(B95,'Data Analytics rawData'!A:A,'Data Analytics rawData'!C:C)</f>
        <v>5</v>
      </c>
      <c r="J95" s="43">
        <f t="shared" si="5"/>
        <v>883.3940265</v>
      </c>
      <c r="K95" s="38" t="s">
        <v>184</v>
      </c>
      <c r="L95" s="38" t="s">
        <v>183</v>
      </c>
      <c r="M95" s="54">
        <f t="shared" si="6"/>
        <v>0.03846153846</v>
      </c>
    </row>
    <row r="96">
      <c r="B96" s="27" t="s">
        <v>174</v>
      </c>
      <c r="C96" s="11" t="str">
        <f t="shared" si="14"/>
        <v>B3+AR</v>
      </c>
      <c r="D96" s="11">
        <f t="array" ref="D96">XLOOKUP(B96,'Google analytics'!A:A,'Google analytics'!F:F)</f>
        <v>6</v>
      </c>
      <c r="E96" s="43">
        <f t="shared" si="4"/>
        <v>203.86016</v>
      </c>
      <c r="F96" s="43">
        <f t="array" ref="F96">XLOOKUP(B96,'Data Analytics rawData'!A:A,'Data Analytics rawData'!D:D)</f>
        <v>0</v>
      </c>
      <c r="G96" s="18">
        <f t="array" ref="G96">XLOOKUP(B96,'Data Analytics rawData'!A:A,'Data Analytics rawData'!E:E)</f>
        <v>0</v>
      </c>
      <c r="H96" s="43">
        <f t="array" ref="H96">XLOOKUP(B96,'Data Analytics rawData'!A:A,'Data Analytics rawData'!B:B)</f>
        <v>0</v>
      </c>
      <c r="I96" s="43">
        <f t="array" ref="I96">XLOOKUP(B96,'Data Analytics rawData'!A:A,'Data Analytics rawData'!C:C)</f>
        <v>0</v>
      </c>
      <c r="J96" s="43" t="str">
        <f t="shared" si="5"/>
        <v>#DIV/0!</v>
      </c>
      <c r="K96" s="38" t="s">
        <v>171</v>
      </c>
      <c r="L96" s="38" t="s">
        <v>170</v>
      </c>
      <c r="M96" s="54">
        <f t="shared" si="6"/>
        <v>0</v>
      </c>
    </row>
    <row r="97">
      <c r="B97" s="27" t="s">
        <v>175</v>
      </c>
      <c r="C97" s="11" t="str">
        <f t="shared" si="14"/>
        <v>NA</v>
      </c>
      <c r="D97" s="29" t="s">
        <v>63</v>
      </c>
      <c r="E97" s="43" t="str">
        <f t="shared" si="4"/>
        <v>#VALUE!</v>
      </c>
      <c r="F97" s="44" t="s">
        <v>63</v>
      </c>
      <c r="G97" s="43" t="str">
        <f t="array" ref="G97">XLOOKUP(B97,'Data Analytics rawData'!A:A,'Data Analytics rawData'!E:E)</f>
        <v>#N/A</v>
      </c>
      <c r="H97" s="43" t="str">
        <f t="array" ref="H97">XLOOKUP(B97,'Data Analytics rawData'!A:A,'Data Analytics rawData'!B:B)</f>
        <v>#N/A</v>
      </c>
      <c r="I97" s="43" t="str">
        <f t="array" ref="I97">XLOOKUP(B97,'Data Analytics rawData'!A:A,'Data Analytics rawData'!C:C)</f>
        <v>#N/A</v>
      </c>
      <c r="J97" s="43" t="str">
        <f t="shared" si="5"/>
        <v>#VALUE!</v>
      </c>
      <c r="K97" s="38" t="s">
        <v>146</v>
      </c>
      <c r="L97" s="38" t="s">
        <v>145</v>
      </c>
      <c r="M97" s="54" t="str">
        <f t="shared" si="6"/>
        <v>#VALUE!</v>
      </c>
    </row>
    <row r="98">
      <c r="B98" s="27" t="s">
        <v>176</v>
      </c>
      <c r="C98" s="11" t="str">
        <f t="shared" si="14"/>
        <v>NA</v>
      </c>
      <c r="D98" s="29" t="s">
        <v>63</v>
      </c>
      <c r="E98" s="43" t="str">
        <f t="shared" si="4"/>
        <v>#VALUE!</v>
      </c>
      <c r="F98" s="44" t="s">
        <v>63</v>
      </c>
      <c r="G98" s="43" t="str">
        <f t="array" ref="G98">XLOOKUP(B98,'Data Analytics rawData'!A:A,'Data Analytics rawData'!E:E)</f>
        <v>#N/A</v>
      </c>
      <c r="H98" s="43" t="str">
        <f t="array" ref="H98">XLOOKUP(B98,'Data Analytics rawData'!A:A,'Data Analytics rawData'!B:B)</f>
        <v>#N/A</v>
      </c>
      <c r="I98" s="43" t="str">
        <f t="array" ref="I98">XLOOKUP(B98,'Data Analytics rawData'!A:A,'Data Analytics rawData'!C:C)</f>
        <v>#N/A</v>
      </c>
      <c r="J98" s="43" t="str">
        <f t="shared" si="5"/>
        <v>#VALUE!</v>
      </c>
      <c r="K98" s="38" t="s">
        <v>212</v>
      </c>
      <c r="L98" s="38" t="s">
        <v>211</v>
      </c>
      <c r="M98" s="54" t="str">
        <f t="shared" si="6"/>
        <v>#VALUE!</v>
      </c>
    </row>
    <row r="99">
      <c r="B99" s="27" t="s">
        <v>177</v>
      </c>
      <c r="C99" s="11" t="str">
        <f t="shared" si="14"/>
        <v>NA</v>
      </c>
      <c r="D99" s="29" t="s">
        <v>63</v>
      </c>
      <c r="E99" s="43" t="str">
        <f t="shared" si="4"/>
        <v>#VALUE!</v>
      </c>
      <c r="F99" s="44" t="s">
        <v>63</v>
      </c>
      <c r="G99" s="43" t="str">
        <f t="array" ref="G99">XLOOKUP(B99,'Data Analytics rawData'!A:A,'Data Analytics rawData'!E:E)</f>
        <v>#N/A</v>
      </c>
      <c r="H99" s="43" t="str">
        <f t="array" ref="H99">XLOOKUP(B99,'Data Analytics rawData'!A:A,'Data Analytics rawData'!B:B)</f>
        <v>#N/A</v>
      </c>
      <c r="I99" s="43" t="str">
        <f t="array" ref="I99">XLOOKUP(B99,'Data Analytics rawData'!A:A,'Data Analytics rawData'!C:C)</f>
        <v>#N/A</v>
      </c>
      <c r="J99" s="43" t="str">
        <f t="shared" si="5"/>
        <v>#VALUE!</v>
      </c>
      <c r="K99" s="38" t="s">
        <v>140</v>
      </c>
      <c r="L99" s="38" t="s">
        <v>139</v>
      </c>
      <c r="M99" s="54" t="str">
        <f t="shared" si="6"/>
        <v>#VALUE!</v>
      </c>
    </row>
    <row r="100">
      <c r="B100" s="27" t="s">
        <v>178</v>
      </c>
      <c r="C100" s="11" t="str">
        <f t="shared" si="14"/>
        <v>DP</v>
      </c>
      <c r="D100" s="11">
        <f t="array" ref="D100">XLOOKUP(B100,'Google analytics'!A:A,'Google analytics'!F:F)</f>
        <v>1</v>
      </c>
      <c r="E100" s="43">
        <f t="shared" si="4"/>
        <v>33.97669333</v>
      </c>
      <c r="F100" s="43">
        <f t="array" ref="F100">XLOOKUP(B100,'Data Analytics rawData'!A:A,'Data Analytics rawData'!D:D)</f>
        <v>0</v>
      </c>
      <c r="G100" s="18">
        <f t="array" ref="G100">XLOOKUP(B100,'Data Analytics rawData'!A:A,'Data Analytics rawData'!E:E)</f>
        <v>0</v>
      </c>
      <c r="H100" s="43">
        <f t="array" ref="H100">XLOOKUP(B100,'Data Analytics rawData'!A:A,'Data Analytics rawData'!B:B)</f>
        <v>0</v>
      </c>
      <c r="I100" s="43">
        <f t="array" ref="I100">XLOOKUP(B100,'Data Analytics rawData'!A:A,'Data Analytics rawData'!C:C)</f>
        <v>0</v>
      </c>
      <c r="J100" s="43" t="str">
        <f t="shared" si="5"/>
        <v>#DIV/0!</v>
      </c>
      <c r="K100" s="38" t="s">
        <v>275</v>
      </c>
      <c r="L100" s="38" t="s">
        <v>276</v>
      </c>
      <c r="M100" s="54">
        <f t="shared" si="6"/>
        <v>0</v>
      </c>
    </row>
    <row r="101">
      <c r="B101" s="27" t="s">
        <v>180</v>
      </c>
      <c r="C101" s="11" t="str">
        <f t="shared" si="14"/>
        <v>CC8</v>
      </c>
      <c r="D101" s="29" t="s">
        <v>63</v>
      </c>
      <c r="E101" s="43" t="str">
        <f t="shared" si="4"/>
        <v>#VALUE!</v>
      </c>
      <c r="F101" s="44" t="s">
        <v>63</v>
      </c>
      <c r="G101" s="43" t="str">
        <f t="array" ref="G101">XLOOKUP(B101,'Data Analytics rawData'!A:A,'Data Analytics rawData'!E:E)</f>
        <v>#N/A</v>
      </c>
      <c r="H101" s="43" t="str">
        <f t="array" ref="H101">XLOOKUP(B101,'Data Analytics rawData'!A:A,'Data Analytics rawData'!B:B)</f>
        <v>#N/A</v>
      </c>
      <c r="I101" s="43" t="str">
        <f t="array" ref="I101">XLOOKUP(B101,'Data Analytics rawData'!A:A,'Data Analytics rawData'!C:C)</f>
        <v>#N/A</v>
      </c>
      <c r="J101" s="43" t="str">
        <f t="shared" si="5"/>
        <v>#VALUE!</v>
      </c>
      <c r="K101" s="38" t="s">
        <v>169</v>
      </c>
      <c r="L101" s="38" t="s">
        <v>168</v>
      </c>
      <c r="M101" s="54" t="str">
        <f t="shared" si="6"/>
        <v>#VALUE!</v>
      </c>
    </row>
    <row r="102">
      <c r="B102" s="27" t="s">
        <v>182</v>
      </c>
      <c r="C102" s="11" t="str">
        <f t="shared" si="14"/>
        <v>CC8+SFP</v>
      </c>
      <c r="D102" s="29" t="s">
        <v>63</v>
      </c>
      <c r="E102" s="43" t="str">
        <f t="shared" si="4"/>
        <v>#VALUE!</v>
      </c>
      <c r="F102" s="44" t="s">
        <v>63</v>
      </c>
      <c r="G102" s="43" t="str">
        <f t="array" ref="G102">XLOOKUP(B102,'Data Analytics rawData'!A:A,'Data Analytics rawData'!E:E)</f>
        <v>#N/A</v>
      </c>
      <c r="H102" s="43" t="str">
        <f t="array" ref="H102">XLOOKUP(B102,'Data Analytics rawData'!A:A,'Data Analytics rawData'!B:B)</f>
        <v>#N/A</v>
      </c>
      <c r="I102" s="43" t="str">
        <f t="array" ref="I102">XLOOKUP(B102,'Data Analytics rawData'!A:A,'Data Analytics rawData'!C:C)</f>
        <v>#N/A</v>
      </c>
      <c r="J102" s="43" t="str">
        <f t="shared" si="5"/>
        <v>#VALUE!</v>
      </c>
      <c r="K102" s="38" t="s">
        <v>218</v>
      </c>
      <c r="L102" s="38" t="s">
        <v>217</v>
      </c>
      <c r="M102" s="54" t="str">
        <f t="shared" si="6"/>
        <v>#VALUE!</v>
      </c>
    </row>
    <row r="103">
      <c r="B103" s="27" t="s">
        <v>184</v>
      </c>
      <c r="C103" s="11" t="str">
        <f t="shared" si="14"/>
        <v>CC8+SJ</v>
      </c>
      <c r="D103" s="29" t="s">
        <v>63</v>
      </c>
      <c r="E103" s="43" t="str">
        <f t="shared" si="4"/>
        <v>#VALUE!</v>
      </c>
      <c r="F103" s="44" t="s">
        <v>63</v>
      </c>
      <c r="G103" s="43" t="str">
        <f t="array" ref="G103">XLOOKUP(B103,'Data Analytics rawData'!A:A,'Data Analytics rawData'!E:E)</f>
        <v>#N/A</v>
      </c>
      <c r="H103" s="43" t="str">
        <f t="array" ref="H103">XLOOKUP(B103,'Data Analytics rawData'!A:A,'Data Analytics rawData'!B:B)</f>
        <v>#N/A</v>
      </c>
      <c r="I103" s="43" t="str">
        <f t="array" ref="I103">XLOOKUP(B103,'Data Analytics rawData'!A:A,'Data Analytics rawData'!C:C)</f>
        <v>#N/A</v>
      </c>
      <c r="J103" s="43" t="str">
        <f t="shared" si="5"/>
        <v>#VALUE!</v>
      </c>
      <c r="K103" s="38" t="s">
        <v>164</v>
      </c>
      <c r="L103" s="38" t="s">
        <v>163</v>
      </c>
      <c r="M103" s="54" t="str">
        <f t="shared" si="6"/>
        <v>#VALUE!</v>
      </c>
    </row>
    <row r="104">
      <c r="B104" s="27" t="s">
        <v>186</v>
      </c>
      <c r="C104" s="11" t="str">
        <f t="shared" si="14"/>
        <v>B8+FP3+AR</v>
      </c>
      <c r="D104" s="11">
        <f t="array" ref="D104">XLOOKUP(B104,'Google analytics'!A:A,'Google analytics'!F:F)</f>
        <v>35</v>
      </c>
      <c r="E104" s="43">
        <f t="shared" si="4"/>
        <v>1189.184266</v>
      </c>
      <c r="F104" s="43">
        <f t="array" ref="F104">XLOOKUP(B104,'Data Analytics rawData'!A:A,'Data Analytics rawData'!D:D)</f>
        <v>2</v>
      </c>
      <c r="G104" s="18">
        <f t="array" ref="G104">XLOOKUP(B104,'Data Analytics rawData'!A:A,'Data Analytics rawData'!E:E)</f>
        <v>3465.99997</v>
      </c>
      <c r="H104" s="43">
        <f t="array" ref="H104">XLOOKUP(B104,'Data Analytics rawData'!A:A,'Data Analytics rawData'!B:B)</f>
        <v>33</v>
      </c>
      <c r="I104" s="43">
        <f t="array" ref="I104">XLOOKUP(B104,'Data Analytics rawData'!A:A,'Data Analytics rawData'!C:C)</f>
        <v>7</v>
      </c>
      <c r="J104" s="43">
        <f t="shared" si="5"/>
        <v>594.5921332</v>
      </c>
      <c r="K104" s="38" t="s">
        <v>165</v>
      </c>
      <c r="L104" s="38" t="s">
        <v>139</v>
      </c>
      <c r="M104" s="54">
        <f t="shared" si="6"/>
        <v>0.05714285714</v>
      </c>
    </row>
    <row r="105">
      <c r="B105" s="27" t="s">
        <v>187</v>
      </c>
      <c r="C105" s="11" t="str">
        <f t="shared" si="14"/>
        <v>Dino Kit</v>
      </c>
      <c r="D105" s="11">
        <f t="array" ref="D105">XLOOKUP(B105,'Google analytics'!A:A,'Google analytics'!F:F)</f>
        <v>1</v>
      </c>
      <c r="E105" s="43">
        <f t="shared" si="4"/>
        <v>33.97669333</v>
      </c>
      <c r="F105" s="43">
        <f t="array" ref="F105">XLOOKUP(B105,'Data Analytics rawData'!A:A,'Data Analytics rawData'!D:D)</f>
        <v>0</v>
      </c>
      <c r="G105" s="18">
        <f t="array" ref="G105">XLOOKUP(B105,'Data Analytics rawData'!A:A,'Data Analytics rawData'!E:E)</f>
        <v>0</v>
      </c>
      <c r="H105" s="43">
        <f t="array" ref="H105">XLOOKUP(B105,'Data Analytics rawData'!A:A,'Data Analytics rawData'!B:B)</f>
        <v>0</v>
      </c>
      <c r="I105" s="43">
        <f t="array" ref="I105">XLOOKUP(B105,'Data Analytics rawData'!A:A,'Data Analytics rawData'!C:C)</f>
        <v>1</v>
      </c>
      <c r="J105" s="43" t="str">
        <f t="shared" si="5"/>
        <v>#DIV/0!</v>
      </c>
      <c r="K105" s="38" t="s">
        <v>174</v>
      </c>
      <c r="L105" s="38" t="s">
        <v>55</v>
      </c>
      <c r="M105" s="54">
        <f t="shared" si="6"/>
        <v>0</v>
      </c>
    </row>
    <row r="106">
      <c r="B106" s="27" t="s">
        <v>188</v>
      </c>
      <c r="C106" s="11" t="str">
        <f t="shared" si="14"/>
        <v>Dino Kit</v>
      </c>
      <c r="D106" s="29" t="s">
        <v>63</v>
      </c>
      <c r="E106" s="43" t="str">
        <f t="shared" si="4"/>
        <v>#VALUE!</v>
      </c>
      <c r="F106" s="44" t="s">
        <v>63</v>
      </c>
      <c r="G106" s="43" t="str">
        <f t="array" ref="G106">XLOOKUP(B106,'Data Analytics rawData'!A:A,'Data Analytics rawData'!E:E)</f>
        <v>#N/A</v>
      </c>
      <c r="H106" s="43" t="str">
        <f t="array" ref="H106">XLOOKUP(B106,'Data Analytics rawData'!A:A,'Data Analytics rawData'!B:B)</f>
        <v>#N/A</v>
      </c>
      <c r="I106" s="43" t="str">
        <f t="array" ref="I106">XLOOKUP(B106,'Data Analytics rawData'!A:A,'Data Analytics rawData'!C:C)</f>
        <v>#N/A</v>
      </c>
      <c r="J106" s="43" t="str">
        <f t="shared" si="5"/>
        <v>#VALUE!</v>
      </c>
      <c r="K106" s="38" t="s">
        <v>277</v>
      </c>
      <c r="L106" s="38" t="s">
        <v>30</v>
      </c>
      <c r="M106" s="54" t="str">
        <f t="shared" si="6"/>
        <v>#VALUE!</v>
      </c>
    </row>
    <row r="107">
      <c r="B107" s="27" t="s">
        <v>189</v>
      </c>
      <c r="C107" s="11" t="str">
        <f t="shared" si="14"/>
        <v>Dino Kit</v>
      </c>
      <c r="D107" s="29" t="s">
        <v>63</v>
      </c>
      <c r="E107" s="43" t="str">
        <f t="shared" si="4"/>
        <v>#VALUE!</v>
      </c>
      <c r="F107" s="44" t="s">
        <v>63</v>
      </c>
      <c r="G107" s="43" t="str">
        <f t="array" ref="G107">XLOOKUP(B107,'Data Analytics rawData'!A:A,'Data Analytics rawData'!E:E)</f>
        <v>#N/A</v>
      </c>
      <c r="H107" s="43" t="str">
        <f t="array" ref="H107">XLOOKUP(B107,'Data Analytics rawData'!A:A,'Data Analytics rawData'!B:B)</f>
        <v>#N/A</v>
      </c>
      <c r="I107" s="43" t="str">
        <f t="array" ref="I107">XLOOKUP(B107,'Data Analytics rawData'!A:A,'Data Analytics rawData'!C:C)</f>
        <v>#N/A</v>
      </c>
      <c r="J107" s="43" t="str">
        <f t="shared" si="5"/>
        <v>#VALUE!</v>
      </c>
      <c r="K107" s="38" t="s">
        <v>178</v>
      </c>
      <c r="L107" s="38" t="s">
        <v>57</v>
      </c>
      <c r="M107" s="54" t="str">
        <f t="shared" si="6"/>
        <v>#VALUE!</v>
      </c>
    </row>
    <row r="108">
      <c r="B108" s="27" t="s">
        <v>190</v>
      </c>
      <c r="C108" s="11" t="str">
        <f t="shared" si="14"/>
        <v>Dino Kit</v>
      </c>
      <c r="D108" s="29" t="s">
        <v>63</v>
      </c>
      <c r="E108" s="43" t="str">
        <f t="shared" si="4"/>
        <v>#VALUE!</v>
      </c>
      <c r="F108" s="44" t="s">
        <v>63</v>
      </c>
      <c r="G108" s="43" t="str">
        <f t="array" ref="G108">XLOOKUP(B108,'Data Analytics rawData'!A:A,'Data Analytics rawData'!E:E)</f>
        <v>#N/A</v>
      </c>
      <c r="H108" s="43" t="str">
        <f t="array" ref="H108">XLOOKUP(B108,'Data Analytics rawData'!A:A,'Data Analytics rawData'!B:B)</f>
        <v>#N/A</v>
      </c>
      <c r="I108" s="43" t="str">
        <f t="array" ref="I108">XLOOKUP(B108,'Data Analytics rawData'!A:A,'Data Analytics rawData'!C:C)</f>
        <v>#N/A</v>
      </c>
      <c r="J108" s="43" t="str">
        <f t="shared" si="5"/>
        <v>#VALUE!</v>
      </c>
      <c r="K108" s="38" t="s">
        <v>186</v>
      </c>
      <c r="L108" s="38" t="s">
        <v>185</v>
      </c>
      <c r="M108" s="54" t="str">
        <f t="shared" si="6"/>
        <v>#VALUE!</v>
      </c>
    </row>
    <row r="109">
      <c r="B109" s="27" t="s">
        <v>191</v>
      </c>
      <c r="C109" s="11" t="s">
        <v>121</v>
      </c>
      <c r="D109" s="29" t="s">
        <v>63</v>
      </c>
      <c r="E109" s="43" t="str">
        <f t="shared" si="4"/>
        <v>#VALUE!</v>
      </c>
      <c r="F109" s="44" t="s">
        <v>63</v>
      </c>
      <c r="G109" s="43" t="str">
        <f t="array" ref="G109">XLOOKUP(B109,'Data Analytics rawData'!A:A,'Data Analytics rawData'!E:E)</f>
        <v>#N/A</v>
      </c>
      <c r="H109" s="43" t="str">
        <f t="array" ref="H109">XLOOKUP(B109,'Data Analytics rawData'!A:A,'Data Analytics rawData'!B:B)</f>
        <v>#N/A</v>
      </c>
      <c r="I109" s="43" t="str">
        <f t="array" ref="I109">XLOOKUP(B109,'Data Analytics rawData'!A:A,'Data Analytics rawData'!C:C)</f>
        <v>#N/A</v>
      </c>
      <c r="J109" s="43" t="str">
        <f t="shared" si="5"/>
        <v>#VALUE!</v>
      </c>
      <c r="K109" s="38" t="s">
        <v>187</v>
      </c>
      <c r="L109" s="38" t="s">
        <v>121</v>
      </c>
      <c r="M109" s="54" t="str">
        <f t="shared" si="6"/>
        <v>#VALUE!</v>
      </c>
    </row>
    <row r="110">
      <c r="B110" s="27" t="s">
        <v>192</v>
      </c>
      <c r="C110" s="11" t="str">
        <f t="shared" ref="C110:C113" si="15">IFERROR(VLOOKUP(B110,K:L,2,0),"NA")</f>
        <v>FF Unicorn</v>
      </c>
      <c r="D110" s="29" t="s">
        <v>63</v>
      </c>
      <c r="E110" s="43" t="str">
        <f t="shared" si="4"/>
        <v>#VALUE!</v>
      </c>
      <c r="F110" s="44" t="s">
        <v>63</v>
      </c>
      <c r="G110" s="43" t="str">
        <f t="array" ref="G110">XLOOKUP(B110,'Data Analytics rawData'!A:A,'Data Analytics rawData'!E:E)</f>
        <v>#N/A</v>
      </c>
      <c r="H110" s="43" t="str">
        <f t="array" ref="H110">XLOOKUP(B110,'Data Analytics rawData'!A:A,'Data Analytics rawData'!B:B)</f>
        <v>#N/A</v>
      </c>
      <c r="I110" s="43" t="str">
        <f t="array" ref="I110">XLOOKUP(B110,'Data Analytics rawData'!A:A,'Data Analytics rawData'!C:C)</f>
        <v>#N/A</v>
      </c>
      <c r="J110" s="43" t="str">
        <f t="shared" si="5"/>
        <v>#VALUE!</v>
      </c>
      <c r="K110" s="38" t="s">
        <v>278</v>
      </c>
      <c r="L110" s="38" t="s">
        <v>121</v>
      </c>
      <c r="M110" s="54" t="str">
        <f t="shared" si="6"/>
        <v>#VALUE!</v>
      </c>
    </row>
    <row r="111">
      <c r="B111" s="27" t="s">
        <v>193</v>
      </c>
      <c r="C111" s="11" t="str">
        <f t="shared" si="15"/>
        <v>FF Dino</v>
      </c>
      <c r="D111" s="11">
        <f t="array" ref="D111">XLOOKUP(B111,'Google analytics'!A:A,'Google analytics'!F:F)</f>
        <v>1</v>
      </c>
      <c r="E111" s="43">
        <f t="shared" si="4"/>
        <v>33.97669333</v>
      </c>
      <c r="F111" s="43">
        <f t="array" ref="F111">XLOOKUP(B111,'Data Analytics rawData'!A:A,'Data Analytics rawData'!D:D)</f>
        <v>0</v>
      </c>
      <c r="G111" s="18">
        <f t="array" ref="G111">XLOOKUP(B111,'Data Analytics rawData'!A:A,'Data Analytics rawData'!E:E)</f>
        <v>0</v>
      </c>
      <c r="H111" s="43">
        <f t="array" ref="H111">XLOOKUP(B111,'Data Analytics rawData'!A:A,'Data Analytics rawData'!B:B)</f>
        <v>0</v>
      </c>
      <c r="I111" s="43">
        <f t="array" ref="I111">XLOOKUP(B111,'Data Analytics rawData'!A:A,'Data Analytics rawData'!C:C)</f>
        <v>0</v>
      </c>
      <c r="J111" s="43" t="str">
        <f t="shared" si="5"/>
        <v>#DIV/0!</v>
      </c>
      <c r="K111" s="38" t="s">
        <v>188</v>
      </c>
      <c r="L111" s="38" t="s">
        <v>121</v>
      </c>
      <c r="M111" s="54">
        <f t="shared" si="6"/>
        <v>0</v>
      </c>
    </row>
    <row r="112">
      <c r="B112" s="27" t="s">
        <v>194</v>
      </c>
      <c r="C112" s="11" t="str">
        <f t="shared" si="15"/>
        <v>FF Unicorn</v>
      </c>
      <c r="D112" s="29" t="s">
        <v>63</v>
      </c>
      <c r="E112" s="43" t="str">
        <f t="shared" si="4"/>
        <v>#VALUE!</v>
      </c>
      <c r="F112" s="44" t="s">
        <v>63</v>
      </c>
      <c r="G112" s="43" t="str">
        <f t="array" ref="G112">XLOOKUP(B112,'Data Analytics rawData'!A:A,'Data Analytics rawData'!E:E)</f>
        <v>#N/A</v>
      </c>
      <c r="H112" s="43" t="str">
        <f t="array" ref="H112">XLOOKUP(B112,'Data Analytics rawData'!A:A,'Data Analytics rawData'!B:B)</f>
        <v>#N/A</v>
      </c>
      <c r="I112" s="43" t="str">
        <f t="array" ref="I112">XLOOKUP(B112,'Data Analytics rawData'!A:A,'Data Analytics rawData'!C:C)</f>
        <v>#N/A</v>
      </c>
      <c r="J112" s="43" t="str">
        <f t="shared" si="5"/>
        <v>#VALUE!</v>
      </c>
      <c r="K112" s="38" t="s">
        <v>189</v>
      </c>
      <c r="L112" s="38" t="s">
        <v>121</v>
      </c>
      <c r="M112" s="54" t="str">
        <f t="shared" si="6"/>
        <v>#VALUE!</v>
      </c>
    </row>
    <row r="113">
      <c r="B113" s="27" t="s">
        <v>196</v>
      </c>
      <c r="C113" s="11" t="str">
        <f t="shared" si="15"/>
        <v>GC</v>
      </c>
      <c r="D113" s="11">
        <f t="array" ref="D113">XLOOKUP(B113,'Google analytics'!A:A,'Google analytics'!F:F)</f>
        <v>26</v>
      </c>
      <c r="E113" s="43">
        <f t="shared" si="4"/>
        <v>883.3940265</v>
      </c>
      <c r="F113" s="43">
        <f t="array" ref="F113">XLOOKUP(B113,'Data Analytics rawData'!A:A,'Data Analytics rawData'!D:D)</f>
        <v>0</v>
      </c>
      <c r="G113" s="18">
        <f t="array" ref="G113">XLOOKUP(B113,'Data Analytics rawData'!A:A,'Data Analytics rawData'!E:E)</f>
        <v>0</v>
      </c>
      <c r="H113" s="43">
        <f t="array" ref="H113">XLOOKUP(B113,'Data Analytics rawData'!A:A,'Data Analytics rawData'!B:B)</f>
        <v>31</v>
      </c>
      <c r="I113" s="43">
        <f t="array" ref="I113">XLOOKUP(B113,'Data Analytics rawData'!A:A,'Data Analytics rawData'!C:C)</f>
        <v>0</v>
      </c>
      <c r="J113" s="43" t="str">
        <f t="shared" si="5"/>
        <v>#DIV/0!</v>
      </c>
      <c r="K113" s="38" t="s">
        <v>190</v>
      </c>
      <c r="L113" s="38" t="s">
        <v>121</v>
      </c>
      <c r="M113" s="54">
        <f t="shared" si="6"/>
        <v>0</v>
      </c>
    </row>
    <row r="114">
      <c r="B114" s="27" t="s">
        <v>197</v>
      </c>
      <c r="C114" s="29" t="s">
        <v>195</v>
      </c>
      <c r="D114" s="29" t="s">
        <v>63</v>
      </c>
      <c r="E114" s="43" t="str">
        <f t="shared" si="4"/>
        <v>#VALUE!</v>
      </c>
      <c r="F114" s="44" t="s">
        <v>63</v>
      </c>
      <c r="G114" s="43" t="str">
        <f t="array" ref="G114">XLOOKUP(B114,'Data Analytics rawData'!A:A,'Data Analytics rawData'!E:E)</f>
        <v>#N/A</v>
      </c>
      <c r="H114" s="43" t="str">
        <f t="array" ref="H114">XLOOKUP(B114,'Data Analytics rawData'!A:A,'Data Analytics rawData'!B:B)</f>
        <v>#N/A</v>
      </c>
      <c r="I114" s="43" t="str">
        <f t="array" ref="I114">XLOOKUP(B114,'Data Analytics rawData'!A:A,'Data Analytics rawData'!C:C)</f>
        <v>#N/A</v>
      </c>
      <c r="J114" s="43" t="str">
        <f t="shared" si="5"/>
        <v>#VALUE!</v>
      </c>
      <c r="K114" s="38" t="s">
        <v>279</v>
      </c>
      <c r="L114" s="38" t="s">
        <v>121</v>
      </c>
      <c r="M114" s="54" t="str">
        <f t="shared" si="6"/>
        <v>#VALUE!</v>
      </c>
    </row>
    <row r="115">
      <c r="B115" s="27" t="s">
        <v>198</v>
      </c>
      <c r="C115" s="29" t="s">
        <v>195</v>
      </c>
      <c r="D115" s="29" t="s">
        <v>63</v>
      </c>
      <c r="E115" s="43" t="str">
        <f t="shared" si="4"/>
        <v>#VALUE!</v>
      </c>
      <c r="F115" s="44" t="s">
        <v>63</v>
      </c>
      <c r="G115" s="43" t="str">
        <f t="array" ref="G115">XLOOKUP(B115,'Data Analytics rawData'!A:A,'Data Analytics rawData'!E:E)</f>
        <v>#N/A</v>
      </c>
      <c r="H115" s="43" t="str">
        <f t="array" ref="H115">XLOOKUP(B115,'Data Analytics rawData'!A:A,'Data Analytics rawData'!B:B)</f>
        <v>#N/A</v>
      </c>
      <c r="I115" s="43" t="str">
        <f t="array" ref="I115">XLOOKUP(B115,'Data Analytics rawData'!A:A,'Data Analytics rawData'!C:C)</f>
        <v>#N/A</v>
      </c>
      <c r="J115" s="43" t="str">
        <f t="shared" si="5"/>
        <v>#VALUE!</v>
      </c>
      <c r="K115" s="38" t="s">
        <v>192</v>
      </c>
      <c r="L115" s="38" t="s">
        <v>163</v>
      </c>
      <c r="M115" s="54" t="str">
        <f t="shared" si="6"/>
        <v>#VALUE!</v>
      </c>
    </row>
    <row r="116">
      <c r="B116" s="27" t="s">
        <v>200</v>
      </c>
      <c r="C116" s="11" t="str">
        <f t="shared" ref="C116:C121" si="16">IFERROR(VLOOKUP(B116,K:L,2,0),"NA")</f>
        <v>FP3+B8</v>
      </c>
      <c r="D116" s="11">
        <f t="array" ref="D116">XLOOKUP(B116,'Google analytics'!A:A,'Google analytics'!F:F)</f>
        <v>88</v>
      </c>
      <c r="E116" s="43">
        <f t="shared" si="4"/>
        <v>2989.949013</v>
      </c>
      <c r="F116" s="43">
        <f t="array" ref="F116">XLOOKUP(B116,'Data Analytics rawData'!A:A,'Data Analytics rawData'!D:D)</f>
        <v>5</v>
      </c>
      <c r="G116" s="18">
        <f t="array" ref="G116">XLOOKUP(B116,'Data Analytics rawData'!A:A,'Data Analytics rawData'!E:E)</f>
        <v>5379.999948</v>
      </c>
      <c r="H116" s="43">
        <f t="array" ref="H116">XLOOKUP(B116,'Data Analytics rawData'!A:A,'Data Analytics rawData'!B:B)</f>
        <v>92</v>
      </c>
      <c r="I116" s="43">
        <f t="array" ref="I116">XLOOKUP(B116,'Data Analytics rawData'!A:A,'Data Analytics rawData'!C:C)</f>
        <v>13</v>
      </c>
      <c r="J116" s="43">
        <f t="shared" si="5"/>
        <v>597.9898026</v>
      </c>
      <c r="K116" s="38" t="s">
        <v>193</v>
      </c>
      <c r="L116" s="38" t="s">
        <v>170</v>
      </c>
      <c r="M116" s="54">
        <f t="shared" si="6"/>
        <v>0.05681818182</v>
      </c>
    </row>
    <row r="117">
      <c r="B117" s="27" t="s">
        <v>202</v>
      </c>
      <c r="C117" s="11" t="str">
        <f t="shared" si="16"/>
        <v>Dino Patch</v>
      </c>
      <c r="D117" s="29" t="s">
        <v>63</v>
      </c>
      <c r="E117" s="43" t="str">
        <f t="shared" si="4"/>
        <v>#VALUE!</v>
      </c>
      <c r="F117" s="44" t="s">
        <v>63</v>
      </c>
      <c r="G117" s="43" t="str">
        <f t="array" ref="G117">XLOOKUP(B117,'Data Analytics rawData'!A:A,'Data Analytics rawData'!E:E)</f>
        <v>#N/A</v>
      </c>
      <c r="H117" s="43" t="str">
        <f t="array" ref="H117">XLOOKUP(B117,'Data Analytics rawData'!A:A,'Data Analytics rawData'!B:B)</f>
        <v>#N/A</v>
      </c>
      <c r="I117" s="43" t="str">
        <f t="array" ref="I117">XLOOKUP(B117,'Data Analytics rawData'!A:A,'Data Analytics rawData'!C:C)</f>
        <v>#N/A</v>
      </c>
      <c r="J117" s="43" t="str">
        <f t="shared" si="5"/>
        <v>#VALUE!</v>
      </c>
      <c r="K117" s="38" t="s">
        <v>194</v>
      </c>
      <c r="L117" s="38" t="s">
        <v>163</v>
      </c>
      <c r="M117" s="54" t="str">
        <f t="shared" si="6"/>
        <v>#VALUE!</v>
      </c>
    </row>
    <row r="118">
      <c r="B118" s="27" t="s">
        <v>204</v>
      </c>
      <c r="C118" s="11" t="str">
        <f t="shared" si="16"/>
        <v>Unicorn Patch</v>
      </c>
      <c r="D118" s="29" t="s">
        <v>63</v>
      </c>
      <c r="E118" s="43" t="str">
        <f t="shared" si="4"/>
        <v>#VALUE!</v>
      </c>
      <c r="F118" s="44" t="s">
        <v>63</v>
      </c>
      <c r="G118" s="43" t="str">
        <f t="array" ref="G118">XLOOKUP(B118,'Data Analytics rawData'!A:A,'Data Analytics rawData'!E:E)</f>
        <v>#N/A</v>
      </c>
      <c r="H118" s="43" t="str">
        <f t="array" ref="H118">XLOOKUP(B118,'Data Analytics rawData'!A:A,'Data Analytics rawData'!B:B)</f>
        <v>#N/A</v>
      </c>
      <c r="I118" s="43" t="str">
        <f t="array" ref="I118">XLOOKUP(B118,'Data Analytics rawData'!A:A,'Data Analytics rawData'!C:C)</f>
        <v>#N/A</v>
      </c>
      <c r="J118" s="43" t="str">
        <f t="shared" si="5"/>
        <v>#VALUE!</v>
      </c>
      <c r="K118" s="38" t="s">
        <v>196</v>
      </c>
      <c r="L118" s="38" t="s">
        <v>195</v>
      </c>
      <c r="M118" s="54" t="str">
        <f t="shared" si="6"/>
        <v>#VALUE!</v>
      </c>
    </row>
    <row r="119">
      <c r="B119" s="27" t="s">
        <v>205</v>
      </c>
      <c r="C119" s="11" t="str">
        <f t="shared" si="16"/>
        <v>Unicorn Kit</v>
      </c>
      <c r="D119" s="29" t="s">
        <v>63</v>
      </c>
      <c r="E119" s="43" t="str">
        <f t="shared" si="4"/>
        <v>#VALUE!</v>
      </c>
      <c r="F119" s="44" t="s">
        <v>63</v>
      </c>
      <c r="G119" s="43" t="str">
        <f t="array" ref="G119">XLOOKUP(B119,'Data Analytics rawData'!A:A,'Data Analytics rawData'!E:E)</f>
        <v>#N/A</v>
      </c>
      <c r="H119" s="43" t="str">
        <f t="array" ref="H119">XLOOKUP(B119,'Data Analytics rawData'!A:A,'Data Analytics rawData'!B:B)</f>
        <v>#N/A</v>
      </c>
      <c r="I119" s="43" t="str">
        <f t="array" ref="I119">XLOOKUP(B119,'Data Analytics rawData'!A:A,'Data Analytics rawData'!C:C)</f>
        <v>#N/A</v>
      </c>
      <c r="J119" s="43" t="str">
        <f t="shared" si="5"/>
        <v>#VALUE!</v>
      </c>
      <c r="K119" s="38" t="s">
        <v>280</v>
      </c>
      <c r="L119" s="38" t="s">
        <v>195</v>
      </c>
      <c r="M119" s="54" t="str">
        <f t="shared" si="6"/>
        <v>#VALUE!</v>
      </c>
    </row>
    <row r="120">
      <c r="B120" s="27" t="s">
        <v>206</v>
      </c>
      <c r="C120" s="11" t="str">
        <f t="shared" si="16"/>
        <v>Unicorn Kit</v>
      </c>
      <c r="D120" s="29" t="s">
        <v>63</v>
      </c>
      <c r="E120" s="43" t="str">
        <f t="shared" si="4"/>
        <v>#VALUE!</v>
      </c>
      <c r="F120" s="44" t="s">
        <v>63</v>
      </c>
      <c r="G120" s="43" t="str">
        <f t="array" ref="G120">XLOOKUP(B120,'Data Analytics rawData'!A:A,'Data Analytics rawData'!E:E)</f>
        <v>#N/A</v>
      </c>
      <c r="H120" s="43" t="str">
        <f t="array" ref="H120">XLOOKUP(B120,'Data Analytics rawData'!A:A,'Data Analytics rawData'!B:B)</f>
        <v>#N/A</v>
      </c>
      <c r="I120" s="43" t="str">
        <f t="array" ref="I120">XLOOKUP(B120,'Data Analytics rawData'!A:A,'Data Analytics rawData'!C:C)</f>
        <v>#N/A</v>
      </c>
      <c r="J120" s="43" t="str">
        <f t="shared" si="5"/>
        <v>#VALUE!</v>
      </c>
      <c r="K120" s="38" t="s">
        <v>281</v>
      </c>
      <c r="L120" s="38" t="s">
        <v>195</v>
      </c>
      <c r="M120" s="54" t="str">
        <f t="shared" si="6"/>
        <v>#VALUE!</v>
      </c>
    </row>
    <row r="121">
      <c r="B121" s="27" t="s">
        <v>207</v>
      </c>
      <c r="C121" s="11" t="str">
        <f t="shared" si="16"/>
        <v>Unicorn Kit</v>
      </c>
      <c r="D121" s="29" t="s">
        <v>63</v>
      </c>
      <c r="E121" s="43" t="str">
        <f t="shared" si="4"/>
        <v>#VALUE!</v>
      </c>
      <c r="F121" s="44" t="s">
        <v>63</v>
      </c>
      <c r="G121" s="43" t="str">
        <f t="array" ref="G121">XLOOKUP(B121,'Data Analytics rawData'!A:A,'Data Analytics rawData'!E:E)</f>
        <v>#N/A</v>
      </c>
      <c r="H121" s="43" t="str">
        <f t="array" ref="H121">XLOOKUP(B121,'Data Analytics rawData'!A:A,'Data Analytics rawData'!B:B)</f>
        <v>#N/A</v>
      </c>
      <c r="I121" s="43" t="str">
        <f t="array" ref="I121">XLOOKUP(B121,'Data Analytics rawData'!A:A,'Data Analytics rawData'!C:C)</f>
        <v>#N/A</v>
      </c>
      <c r="J121" s="43" t="str">
        <f t="shared" si="5"/>
        <v>#VALUE!</v>
      </c>
      <c r="K121" s="38" t="s">
        <v>282</v>
      </c>
      <c r="L121" s="38" t="s">
        <v>195</v>
      </c>
      <c r="M121" s="54" t="str">
        <f t="shared" si="6"/>
        <v>#VALUE!</v>
      </c>
    </row>
    <row r="122">
      <c r="B122" s="27" t="s">
        <v>209</v>
      </c>
      <c r="C122" s="29" t="s">
        <v>208</v>
      </c>
      <c r="D122" s="11">
        <f t="array" ref="D122">XLOOKUP(B122,'Google analytics'!A:A,'Google analytics'!F:F)</f>
        <v>3084</v>
      </c>
      <c r="E122" s="43">
        <f t="shared" si="4"/>
        <v>104784.1222</v>
      </c>
      <c r="F122" s="43">
        <f t="array" ref="F122">XLOOKUP(B122,'Data Analytics rawData'!A:A,'Data Analytics rawData'!D:D)</f>
        <v>1511</v>
      </c>
      <c r="G122" s="18">
        <f t="array" ref="G122">XLOOKUP(B122,'Data Analytics rawData'!A:A,'Data Analytics rawData'!E:E)</f>
        <v>0</v>
      </c>
      <c r="H122" s="43">
        <f t="array" ref="H122">XLOOKUP(B122,'Data Analytics rawData'!A:A,'Data Analytics rawData'!B:B)</f>
        <v>0</v>
      </c>
      <c r="I122" s="43">
        <f t="array" ref="I122">XLOOKUP(B122,'Data Analytics rawData'!A:A,'Data Analytics rawData'!C:C)</f>
        <v>0</v>
      </c>
      <c r="J122" s="43">
        <f t="shared" si="5"/>
        <v>69.34753291</v>
      </c>
      <c r="K122" s="38" t="s">
        <v>283</v>
      </c>
      <c r="L122" s="38" t="s">
        <v>195</v>
      </c>
      <c r="M122" s="54">
        <f t="shared" si="6"/>
        <v>0.4899481193</v>
      </c>
    </row>
    <row r="123">
      <c r="B123" s="27" t="s">
        <v>212</v>
      </c>
      <c r="C123" s="11" t="str">
        <f>IFERROR(VLOOKUP(B123,K:L,2,0),"NA")</f>
        <v>FF Unicorn+B8</v>
      </c>
      <c r="D123" s="11">
        <f t="array" ref="D123">XLOOKUP(B123,'Google analytics'!A:A,'Google analytics'!F:F)</f>
        <v>44</v>
      </c>
      <c r="E123" s="43">
        <f t="shared" si="4"/>
        <v>1494.974506</v>
      </c>
      <c r="F123" s="43">
        <f t="array" ref="F123">XLOOKUP(B123,'Data Analytics rawData'!A:A,'Data Analytics rawData'!D:D)</f>
        <v>1</v>
      </c>
      <c r="G123" s="18">
        <f t="array" ref="G123">XLOOKUP(B123,'Data Analytics rawData'!A:A,'Data Analytics rawData'!E:E)</f>
        <v>977.999998</v>
      </c>
      <c r="H123" s="43">
        <f t="array" ref="H123">XLOOKUP(B123,'Data Analytics rawData'!A:A,'Data Analytics rawData'!B:B)</f>
        <v>46</v>
      </c>
      <c r="I123" s="43">
        <f t="array" ref="I123">XLOOKUP(B123,'Data Analytics rawData'!A:A,'Data Analytics rawData'!C:C)</f>
        <v>3</v>
      </c>
      <c r="J123" s="43">
        <f t="shared" si="5"/>
        <v>1494.974506</v>
      </c>
      <c r="K123" s="38" t="s">
        <v>202</v>
      </c>
      <c r="L123" s="38" t="s">
        <v>201</v>
      </c>
      <c r="M123" s="54">
        <f t="shared" si="6"/>
        <v>0.02272727273</v>
      </c>
    </row>
    <row r="124">
      <c r="B124" s="27" t="s">
        <v>214</v>
      </c>
      <c r="C124" s="29" t="s">
        <v>213</v>
      </c>
      <c r="D124" s="11">
        <f t="array" ref="D124">XLOOKUP(B124,'Google analytics'!A:A,'Google analytics'!F:F)</f>
        <v>1083</v>
      </c>
      <c r="E124" s="43">
        <f t="shared" si="4"/>
        <v>36796.75887</v>
      </c>
      <c r="F124" s="43">
        <f t="array" ref="F124">XLOOKUP(B124,'Data Analytics rawData'!A:A,'Data Analytics rawData'!D:D)</f>
        <v>549</v>
      </c>
      <c r="G124" s="18">
        <f t="array" ref="G124">XLOOKUP(B124,'Data Analytics rawData'!A:A,'Data Analytics rawData'!E:E)</f>
        <v>0</v>
      </c>
      <c r="H124" s="43">
        <f t="array" ref="H124">XLOOKUP(B124,'Data Analytics rawData'!A:A,'Data Analytics rawData'!B:B)</f>
        <v>0</v>
      </c>
      <c r="I124" s="43">
        <f t="array" ref="I124">XLOOKUP(B124,'Data Analytics rawData'!A:A,'Data Analytics rawData'!C:C)</f>
        <v>0</v>
      </c>
      <c r="J124" s="43">
        <f t="shared" si="5"/>
        <v>67.0250617</v>
      </c>
      <c r="K124" s="38" t="s">
        <v>204</v>
      </c>
      <c r="L124" s="38" t="s">
        <v>203</v>
      </c>
      <c r="M124" s="54">
        <f t="shared" si="6"/>
        <v>0.5069252078</v>
      </c>
    </row>
    <row r="125">
      <c r="B125" s="27" t="s">
        <v>216</v>
      </c>
      <c r="C125" s="11" t="str">
        <f t="shared" ref="C125:C126" si="17">IFERROR(VLOOKUP(B125,K:L,2,0),"NA")</f>
        <v>ABC Caryons</v>
      </c>
      <c r="D125" s="29" t="s">
        <v>63</v>
      </c>
      <c r="E125" s="43" t="str">
        <f t="shared" si="4"/>
        <v>#VALUE!</v>
      </c>
      <c r="F125" s="44" t="s">
        <v>63</v>
      </c>
      <c r="G125" s="43" t="str">
        <f t="array" ref="G125">XLOOKUP(B125,'Data Analytics rawData'!A:A,'Data Analytics rawData'!E:E)</f>
        <v>#N/A</v>
      </c>
      <c r="H125" s="43" t="str">
        <f t="array" ref="H125">XLOOKUP(B125,'Data Analytics rawData'!A:A,'Data Analytics rawData'!B:B)</f>
        <v>#N/A</v>
      </c>
      <c r="I125" s="43" t="str">
        <f t="array" ref="I125">XLOOKUP(B125,'Data Analytics rawData'!A:A,'Data Analytics rawData'!C:C)</f>
        <v>#N/A</v>
      </c>
      <c r="J125" s="43" t="str">
        <f t="shared" si="5"/>
        <v>#VALUE!</v>
      </c>
      <c r="K125" s="38" t="s">
        <v>284</v>
      </c>
      <c r="L125" s="38" t="s">
        <v>82</v>
      </c>
      <c r="M125" s="54" t="str">
        <f t="shared" si="6"/>
        <v>#VALUE!</v>
      </c>
    </row>
    <row r="126">
      <c r="B126" s="27" t="s">
        <v>218</v>
      </c>
      <c r="C126" s="11" t="str">
        <f t="shared" si="17"/>
        <v>ABC Paint</v>
      </c>
      <c r="D126" s="11">
        <f t="array" ref="D126">XLOOKUP(B126,'Google analytics'!A:A,'Google analytics'!F:F)</f>
        <v>1</v>
      </c>
      <c r="E126" s="43">
        <f t="shared" si="4"/>
        <v>33.97669333</v>
      </c>
      <c r="F126" s="43">
        <f t="array" ref="F126">XLOOKUP(B126,'Data Analytics rawData'!A:A,'Data Analytics rawData'!D:D)</f>
        <v>0</v>
      </c>
      <c r="G126" s="18">
        <f t="array" ref="G126">XLOOKUP(B126,'Data Analytics rawData'!A:A,'Data Analytics rawData'!E:E)</f>
        <v>0</v>
      </c>
      <c r="H126" s="43">
        <f t="array" ref="H126">XLOOKUP(B126,'Data Analytics rawData'!A:A,'Data Analytics rawData'!B:B)</f>
        <v>0</v>
      </c>
      <c r="I126" s="43">
        <f t="array" ref="I126">XLOOKUP(B126,'Data Analytics rawData'!A:A,'Data Analytics rawData'!C:C)</f>
        <v>1</v>
      </c>
      <c r="J126" s="43" t="str">
        <f t="shared" si="5"/>
        <v>#DIV/0!</v>
      </c>
      <c r="K126" s="38" t="s">
        <v>285</v>
      </c>
      <c r="L126" s="38" t="s">
        <v>227</v>
      </c>
      <c r="M126" s="54">
        <f t="shared" si="6"/>
        <v>0</v>
      </c>
    </row>
    <row r="127">
      <c r="B127" s="27" t="s">
        <v>219</v>
      </c>
      <c r="C127" s="11" t="s">
        <v>217</v>
      </c>
      <c r="D127" s="29" t="s">
        <v>63</v>
      </c>
      <c r="E127" s="43" t="str">
        <f t="shared" si="4"/>
        <v>#VALUE!</v>
      </c>
      <c r="F127" s="44" t="s">
        <v>63</v>
      </c>
      <c r="G127" s="43" t="str">
        <f t="array" ref="G127">XLOOKUP(B127,'Data Analytics rawData'!A:A,'Data Analytics rawData'!E:E)</f>
        <v>#N/A</v>
      </c>
      <c r="H127" s="43" t="str">
        <f t="array" ref="H127">XLOOKUP(B127,'Data Analytics rawData'!A:A,'Data Analytics rawData'!B:B)</f>
        <v>#N/A</v>
      </c>
      <c r="I127" s="43" t="str">
        <f t="array" ref="I127">XLOOKUP(B127,'Data Analytics rawData'!A:A,'Data Analytics rawData'!C:C)</f>
        <v>#N/A</v>
      </c>
      <c r="J127" s="43" t="str">
        <f t="shared" si="5"/>
        <v>#VALUE!</v>
      </c>
      <c r="K127" s="38" t="s">
        <v>205</v>
      </c>
      <c r="L127" s="38" t="s">
        <v>127</v>
      </c>
      <c r="M127" s="54" t="str">
        <f t="shared" si="6"/>
        <v>#VALUE!</v>
      </c>
    </row>
    <row r="128">
      <c r="B128" s="27" t="s">
        <v>220</v>
      </c>
      <c r="C128" s="11" t="str">
        <f t="shared" ref="C128:C135" si="18">IFERROR(VLOOKUP(B128,K:L,2,0),"NA")</f>
        <v>ABC Caryons</v>
      </c>
      <c r="D128" s="11">
        <f t="array" ref="D128">XLOOKUP(B128,'Google analytics'!A:A,'Google analytics'!F:F)</f>
        <v>18</v>
      </c>
      <c r="E128" s="43">
        <f t="shared" si="4"/>
        <v>611.5804799</v>
      </c>
      <c r="F128" s="43">
        <f t="array" ref="F128">XLOOKUP(B128,'Data Analytics rawData'!A:A,'Data Analytics rawData'!D:D)</f>
        <v>0</v>
      </c>
      <c r="G128" s="18">
        <f t="array" ref="G128">XLOOKUP(B128,'Data Analytics rawData'!A:A,'Data Analytics rawData'!E:E)</f>
        <v>0</v>
      </c>
      <c r="H128" s="43">
        <f t="array" ref="H128">XLOOKUP(B128,'Data Analytics rawData'!A:A,'Data Analytics rawData'!B:B)</f>
        <v>0</v>
      </c>
      <c r="I128" s="43">
        <f t="array" ref="I128">XLOOKUP(B128,'Data Analytics rawData'!A:A,'Data Analytics rawData'!C:C)</f>
        <v>0</v>
      </c>
      <c r="J128" s="43" t="str">
        <f t="shared" si="5"/>
        <v>#DIV/0!</v>
      </c>
      <c r="K128" s="38" t="s">
        <v>286</v>
      </c>
      <c r="L128" s="38" t="s">
        <v>127</v>
      </c>
      <c r="M128" s="54">
        <f t="shared" si="6"/>
        <v>0</v>
      </c>
    </row>
    <row r="129">
      <c r="B129" s="27" t="s">
        <v>222</v>
      </c>
      <c r="C129" s="11" t="str">
        <f t="shared" si="18"/>
        <v>ABC Paints</v>
      </c>
      <c r="D129" s="11">
        <f t="array" ref="D129">XLOOKUP(B129,'Google analytics'!A:A,'Google analytics'!F:F)</f>
        <v>8</v>
      </c>
      <c r="E129" s="43">
        <f t="shared" si="4"/>
        <v>271.8135466</v>
      </c>
      <c r="F129" s="43">
        <f t="array" ref="F129">XLOOKUP(B129,'Data Analytics rawData'!A:A,'Data Analytics rawData'!D:D)</f>
        <v>0</v>
      </c>
      <c r="G129" s="18">
        <f t="array" ref="G129">XLOOKUP(B129,'Data Analytics rawData'!A:A,'Data Analytics rawData'!E:E)</f>
        <v>0</v>
      </c>
      <c r="H129" s="43">
        <f t="array" ref="H129">XLOOKUP(B129,'Data Analytics rawData'!A:A,'Data Analytics rawData'!B:B)</f>
        <v>0</v>
      </c>
      <c r="I129" s="43">
        <f t="array" ref="I129">XLOOKUP(B129,'Data Analytics rawData'!A:A,'Data Analytics rawData'!C:C)</f>
        <v>0</v>
      </c>
      <c r="J129" s="43" t="str">
        <f t="shared" si="5"/>
        <v>#DIV/0!</v>
      </c>
      <c r="K129" s="38" t="s">
        <v>206</v>
      </c>
      <c r="L129" s="38" t="s">
        <v>127</v>
      </c>
      <c r="M129" s="54">
        <f t="shared" si="6"/>
        <v>0</v>
      </c>
    </row>
    <row r="130">
      <c r="B130" s="27" t="s">
        <v>224</v>
      </c>
      <c r="C130" s="11" t="str">
        <f t="shared" si="18"/>
        <v>Puzzle Set</v>
      </c>
      <c r="D130" s="11">
        <f t="array" ref="D130">XLOOKUP(B130,'Google analytics'!A:A,'Google analytics'!F:F)</f>
        <v>1</v>
      </c>
      <c r="E130" s="43">
        <f t="shared" si="4"/>
        <v>33.97669333</v>
      </c>
      <c r="F130" s="43">
        <f t="array" ref="F130">XLOOKUP(B130,'Data Analytics rawData'!A:A,'Data Analytics rawData'!D:D)</f>
        <v>0</v>
      </c>
      <c r="G130" s="18">
        <f t="array" ref="G130">XLOOKUP(B130,'Data Analytics rawData'!A:A,'Data Analytics rawData'!E:E)</f>
        <v>0</v>
      </c>
      <c r="H130" s="43">
        <f t="array" ref="H130">XLOOKUP(B130,'Data Analytics rawData'!A:A,'Data Analytics rawData'!B:B)</f>
        <v>0</v>
      </c>
      <c r="I130" s="43">
        <f t="array" ref="I130">XLOOKUP(B130,'Data Analytics rawData'!A:A,'Data Analytics rawData'!C:C)</f>
        <v>0</v>
      </c>
      <c r="J130" s="43" t="str">
        <f t="shared" si="5"/>
        <v>#DIV/0!</v>
      </c>
      <c r="K130" s="38" t="s">
        <v>207</v>
      </c>
      <c r="L130" s="38" t="s">
        <v>127</v>
      </c>
      <c r="M130" s="54">
        <f t="shared" si="6"/>
        <v>0</v>
      </c>
    </row>
    <row r="131">
      <c r="B131" s="27" t="s">
        <v>226</v>
      </c>
      <c r="C131" s="11" t="str">
        <f t="shared" si="18"/>
        <v>T&amp;F+FP3</v>
      </c>
      <c r="D131" s="11">
        <f t="array" ref="D131">XLOOKUP(B131,'Google analytics'!A:A,'Google analytics'!F:F)</f>
        <v>66</v>
      </c>
      <c r="E131" s="43">
        <f t="shared" si="4"/>
        <v>2242.46176</v>
      </c>
      <c r="F131" s="43">
        <f t="array" ref="F131">XLOOKUP(B131,'Data Analytics rawData'!A:A,'Data Analytics rawData'!D:D)</f>
        <v>1</v>
      </c>
      <c r="G131" s="18">
        <f t="array" ref="G131">XLOOKUP(B131,'Data Analytics rawData'!A:A,'Data Analytics rawData'!E:E)</f>
        <v>1469.999999</v>
      </c>
      <c r="H131" s="43">
        <f t="array" ref="H131">XLOOKUP(B131,'Data Analytics rawData'!A:A,'Data Analytics rawData'!B:B)</f>
        <v>66</v>
      </c>
      <c r="I131" s="43">
        <f t="array" ref="I131">XLOOKUP(B131,'Data Analytics rawData'!A:A,'Data Analytics rawData'!C:C)</f>
        <v>7</v>
      </c>
      <c r="J131" s="43">
        <f t="shared" si="5"/>
        <v>2242.46176</v>
      </c>
      <c r="K131" s="38" t="s">
        <v>287</v>
      </c>
      <c r="L131" s="38" t="s">
        <v>127</v>
      </c>
      <c r="M131" s="54">
        <f t="shared" si="6"/>
        <v>0.01515151515</v>
      </c>
    </row>
    <row r="132">
      <c r="B132" s="27" t="s">
        <v>228</v>
      </c>
      <c r="C132" s="11" t="str">
        <f t="shared" si="18"/>
        <v>NA</v>
      </c>
      <c r="D132" s="11">
        <f t="array" ref="D132">XLOOKUP(B132,'Google analytics'!A:A,'Google analytics'!F:F)</f>
        <v>1</v>
      </c>
      <c r="E132" s="43">
        <f t="shared" si="4"/>
        <v>33.97669333</v>
      </c>
      <c r="F132" s="43">
        <f t="array" ref="F132">XLOOKUP(B132,'Data Analytics rawData'!A:A,'Data Analytics rawData'!D:D)</f>
        <v>0</v>
      </c>
      <c r="G132" s="18">
        <f t="array" ref="G132">XLOOKUP(B132,'Data Analytics rawData'!A:A,'Data Analytics rawData'!E:E)</f>
        <v>0</v>
      </c>
      <c r="H132" s="43">
        <f t="array" ref="H132">XLOOKUP(B132,'Data Analytics rawData'!A:A,'Data Analytics rawData'!B:B)</f>
        <v>0</v>
      </c>
      <c r="I132" s="43">
        <f t="array" ref="I132">XLOOKUP(B132,'Data Analytics rawData'!A:A,'Data Analytics rawData'!C:C)</f>
        <v>0</v>
      </c>
      <c r="J132" s="43" t="str">
        <f t="shared" si="5"/>
        <v>#DIV/0!</v>
      </c>
      <c r="K132" s="38" t="s">
        <v>288</v>
      </c>
      <c r="L132" s="38" t="s">
        <v>127</v>
      </c>
      <c r="M132" s="54">
        <f t="shared" si="6"/>
        <v>0</v>
      </c>
    </row>
    <row r="133">
      <c r="B133" s="27" t="s">
        <v>230</v>
      </c>
      <c r="C133" s="11" t="str">
        <f t="shared" si="18"/>
        <v>Pet Paw Kit</v>
      </c>
      <c r="D133" s="11">
        <f t="array" ref="D133">XLOOKUP(B133,'Google analytics'!A:A,'Google analytics'!F:F)</f>
        <v>66</v>
      </c>
      <c r="E133" s="43">
        <f t="shared" si="4"/>
        <v>2242.46176</v>
      </c>
      <c r="F133" s="43">
        <f t="array" ref="F133">XLOOKUP(B133,'Data Analytics rawData'!A:A,'Data Analytics rawData'!D:D)</f>
        <v>3</v>
      </c>
      <c r="G133" s="18">
        <f t="array" ref="G133">XLOOKUP(B133,'Data Analytics rawData'!A:A,'Data Analytics rawData'!E:E)</f>
        <v>2246.999957</v>
      </c>
      <c r="H133" s="43">
        <f t="array" ref="H133">XLOOKUP(B133,'Data Analytics rawData'!A:A,'Data Analytics rawData'!B:B)</f>
        <v>62</v>
      </c>
      <c r="I133" s="43">
        <f t="array" ref="I133">XLOOKUP(B133,'Data Analytics rawData'!A:A,'Data Analytics rawData'!C:C)</f>
        <v>12</v>
      </c>
      <c r="J133" s="43">
        <f t="shared" si="5"/>
        <v>747.4872532</v>
      </c>
      <c r="K133" s="38" t="s">
        <v>289</v>
      </c>
      <c r="L133" s="38" t="s">
        <v>139</v>
      </c>
      <c r="M133" s="54">
        <f t="shared" si="6"/>
        <v>0.04545454545</v>
      </c>
    </row>
    <row r="134">
      <c r="B134" s="27" t="s">
        <v>232</v>
      </c>
      <c r="C134" s="11" t="str">
        <f t="shared" si="18"/>
        <v>Painting Balls</v>
      </c>
      <c r="D134" s="11">
        <f t="array" ref="D134">XLOOKUP(B134,'Google analytics'!A:A,'Google analytics'!F:F)</f>
        <v>27</v>
      </c>
      <c r="E134" s="43">
        <f t="shared" si="4"/>
        <v>917.3707198</v>
      </c>
      <c r="F134" s="43">
        <f t="array" ref="F134">XLOOKUP(B134,'Data Analytics rawData'!A:A,'Data Analytics rawData'!D:D)</f>
        <v>1</v>
      </c>
      <c r="G134" s="18">
        <f t="array" ref="G134">XLOOKUP(B134,'Data Analytics rawData'!A:A,'Data Analytics rawData'!E:E)</f>
        <v>198.999961</v>
      </c>
      <c r="H134" s="43">
        <f t="array" ref="H134">XLOOKUP(B134,'Data Analytics rawData'!A:A,'Data Analytics rawData'!B:B)</f>
        <v>29</v>
      </c>
      <c r="I134" s="43">
        <f t="array" ref="I134">XLOOKUP(B134,'Data Analytics rawData'!A:A,'Data Analytics rawData'!C:C)</f>
        <v>3</v>
      </c>
      <c r="J134" s="43">
        <f t="shared" si="5"/>
        <v>917.3707198</v>
      </c>
      <c r="K134" s="38" t="s">
        <v>216</v>
      </c>
      <c r="L134" s="38" t="s">
        <v>215</v>
      </c>
      <c r="M134" s="54">
        <f t="shared" si="6"/>
        <v>0.03703703704</v>
      </c>
    </row>
    <row r="135">
      <c r="B135" s="27" t="s">
        <v>233</v>
      </c>
      <c r="C135" s="11" t="str">
        <f t="shared" si="18"/>
        <v>FP3+JB</v>
      </c>
      <c r="D135" s="11">
        <f t="array" ref="D135">XLOOKUP(B135,'Google analytics'!A:A,'Google analytics'!F:F)</f>
        <v>5</v>
      </c>
      <c r="E135" s="43">
        <f t="shared" si="4"/>
        <v>169.8834666</v>
      </c>
      <c r="F135" s="43">
        <f t="array" ref="F135">XLOOKUP(B135,'Data Analytics rawData'!A:A,'Data Analytics rawData'!D:D)</f>
        <v>0</v>
      </c>
      <c r="G135" s="18">
        <f t="array" ref="G135">XLOOKUP(B135,'Data Analytics rawData'!A:A,'Data Analytics rawData'!E:E)</f>
        <v>0</v>
      </c>
      <c r="H135" s="43">
        <f t="array" ref="H135">XLOOKUP(B135,'Data Analytics rawData'!A:A,'Data Analytics rawData'!B:B)</f>
        <v>0</v>
      </c>
      <c r="I135" s="43">
        <f t="array" ref="I135">XLOOKUP(B135,'Data Analytics rawData'!A:A,'Data Analytics rawData'!C:C)</f>
        <v>0</v>
      </c>
      <c r="J135" s="43" t="str">
        <f t="shared" si="5"/>
        <v>#DIV/0!</v>
      </c>
      <c r="K135" s="38" t="s">
        <v>220</v>
      </c>
      <c r="L135" s="38" t="s">
        <v>215</v>
      </c>
      <c r="M135" s="54">
        <f t="shared" si="6"/>
        <v>0</v>
      </c>
    </row>
    <row r="136">
      <c r="K136" s="38" t="s">
        <v>222</v>
      </c>
      <c r="L136" s="38" t="s">
        <v>221</v>
      </c>
    </row>
    <row r="137">
      <c r="K137" s="38" t="s">
        <v>224</v>
      </c>
      <c r="L137" s="38" t="s">
        <v>223</v>
      </c>
    </row>
    <row r="138">
      <c r="K138" s="38" t="s">
        <v>226</v>
      </c>
      <c r="L138" s="38" t="s">
        <v>225</v>
      </c>
    </row>
    <row r="139">
      <c r="K139" s="38" t="s">
        <v>232</v>
      </c>
      <c r="L139" s="38" t="s">
        <v>231</v>
      </c>
    </row>
    <row r="140">
      <c r="K140" s="38" t="s">
        <v>290</v>
      </c>
      <c r="L140" s="38" t="s">
        <v>291</v>
      </c>
    </row>
    <row r="141">
      <c r="K141" s="38" t="s">
        <v>233</v>
      </c>
      <c r="L141" s="38" t="s">
        <v>84</v>
      </c>
    </row>
  </sheetData>
  <drawing r:id="rId4"/>
  <legacy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13"/>
    <col customWidth="1" min="2" max="3" width="14.25"/>
    <col customWidth="1" min="4" max="4" width="14.63"/>
    <col customWidth="1" min="7" max="7" width="33.5"/>
    <col customWidth="1" min="8" max="8" width="16.38"/>
  </cols>
  <sheetData>
    <row r="1">
      <c r="A1" s="55" t="s">
        <v>292</v>
      </c>
      <c r="B1" s="56" t="s">
        <v>293</v>
      </c>
      <c r="C1" s="56" t="s">
        <v>235</v>
      </c>
      <c r="D1" s="56" t="s">
        <v>294</v>
      </c>
      <c r="E1" s="55" t="s">
        <v>295</v>
      </c>
      <c r="G1" s="57" t="s">
        <v>0</v>
      </c>
      <c r="H1" s="56" t="s">
        <v>293</v>
      </c>
      <c r="I1" s="56" t="s">
        <v>235</v>
      </c>
      <c r="J1" s="56" t="s">
        <v>294</v>
      </c>
      <c r="K1" s="56" t="s">
        <v>295</v>
      </c>
    </row>
    <row r="2">
      <c r="A2" s="58" t="s">
        <v>124</v>
      </c>
      <c r="B2" s="59">
        <v>205.32</v>
      </c>
      <c r="C2" s="59">
        <v>191.467</v>
      </c>
      <c r="D2" s="59">
        <v>1231.677</v>
      </c>
      <c r="E2" s="59">
        <v>1628.464</v>
      </c>
      <c r="G2" s="60" t="s">
        <v>26</v>
      </c>
      <c r="H2" s="61" t="s">
        <v>296</v>
      </c>
      <c r="I2" s="61" t="s">
        <v>297</v>
      </c>
      <c r="J2" s="61" t="s">
        <v>298</v>
      </c>
      <c r="K2" s="61" t="s">
        <v>299</v>
      </c>
    </row>
    <row r="3">
      <c r="A3" s="58" t="s">
        <v>130</v>
      </c>
      <c r="B3" s="62"/>
      <c r="C3" s="59">
        <v>1192.312</v>
      </c>
      <c r="D3" s="59">
        <v>245.971</v>
      </c>
      <c r="E3" s="59">
        <v>1438.283</v>
      </c>
      <c r="G3" s="63" t="s">
        <v>23</v>
      </c>
      <c r="H3" s="64" t="s">
        <v>300</v>
      </c>
      <c r="I3" s="64" t="s">
        <v>301</v>
      </c>
      <c r="J3" s="64" t="s">
        <v>302</v>
      </c>
      <c r="K3" s="64" t="s">
        <v>303</v>
      </c>
    </row>
    <row r="4">
      <c r="A4" s="58" t="s">
        <v>140</v>
      </c>
      <c r="B4" s="62"/>
      <c r="C4" s="62"/>
      <c r="D4" s="59">
        <v>0.0</v>
      </c>
      <c r="E4" s="59">
        <v>0.0</v>
      </c>
      <c r="G4" s="60" t="s">
        <v>33</v>
      </c>
      <c r="H4" s="61" t="s">
        <v>304</v>
      </c>
      <c r="I4" s="61" t="s">
        <v>305</v>
      </c>
      <c r="J4" s="61" t="s">
        <v>306</v>
      </c>
      <c r="K4" s="61" t="s">
        <v>307</v>
      </c>
    </row>
    <row r="5">
      <c r="A5" s="58" t="s">
        <v>76</v>
      </c>
      <c r="B5" s="62"/>
      <c r="C5" s="59">
        <v>64.747</v>
      </c>
      <c r="D5" s="59">
        <v>0.0</v>
      </c>
      <c r="E5" s="59">
        <v>64.747</v>
      </c>
      <c r="G5" s="63" t="s">
        <v>31</v>
      </c>
      <c r="H5" s="64" t="s">
        <v>308</v>
      </c>
      <c r="I5" s="64" t="s">
        <v>309</v>
      </c>
      <c r="J5" s="64" t="s">
        <v>310</v>
      </c>
      <c r="K5" s="64" t="s">
        <v>311</v>
      </c>
    </row>
    <row r="6">
      <c r="A6" s="58" t="s">
        <v>56</v>
      </c>
      <c r="B6" s="59">
        <v>2382.491</v>
      </c>
      <c r="C6" s="59">
        <v>3027.609</v>
      </c>
      <c r="D6" s="59">
        <v>2076.104</v>
      </c>
      <c r="E6" s="59">
        <v>7486.204</v>
      </c>
      <c r="G6" s="60" t="s">
        <v>28</v>
      </c>
      <c r="H6" s="61" t="s">
        <v>312</v>
      </c>
      <c r="I6" s="61" t="s">
        <v>313</v>
      </c>
      <c r="J6" s="61" t="s">
        <v>314</v>
      </c>
      <c r="K6" s="61" t="s">
        <v>315</v>
      </c>
    </row>
    <row r="7">
      <c r="A7" s="58" t="s">
        <v>316</v>
      </c>
      <c r="B7" s="59">
        <v>2055.465</v>
      </c>
      <c r="C7" s="59">
        <v>26923.807</v>
      </c>
      <c r="D7" s="59">
        <v>3563.503</v>
      </c>
      <c r="E7" s="59">
        <v>32542.775</v>
      </c>
      <c r="G7" s="63" t="s">
        <v>193</v>
      </c>
      <c r="H7" s="64" t="s">
        <v>317</v>
      </c>
      <c r="I7" s="64" t="s">
        <v>318</v>
      </c>
      <c r="J7" s="64" t="s">
        <v>319</v>
      </c>
      <c r="K7" s="64" t="s">
        <v>320</v>
      </c>
    </row>
    <row r="8">
      <c r="A8" s="58" t="s">
        <v>321</v>
      </c>
      <c r="B8" s="59">
        <v>3138.673</v>
      </c>
      <c r="C8" s="59">
        <v>6113.258</v>
      </c>
      <c r="D8" s="59">
        <v>6768.898</v>
      </c>
      <c r="E8" s="59">
        <v>16020.829</v>
      </c>
      <c r="G8" s="60" t="s">
        <v>44</v>
      </c>
      <c r="H8" s="61" t="s">
        <v>322</v>
      </c>
      <c r="I8" s="61" t="s">
        <v>323</v>
      </c>
      <c r="J8" s="61" t="s">
        <v>324</v>
      </c>
      <c r="K8" s="61" t="s">
        <v>325</v>
      </c>
    </row>
    <row r="9">
      <c r="A9" s="58" t="s">
        <v>101</v>
      </c>
      <c r="B9" s="59">
        <v>309.608</v>
      </c>
      <c r="C9" s="59">
        <v>1401.615</v>
      </c>
      <c r="D9" s="59">
        <v>643.171</v>
      </c>
      <c r="E9" s="59">
        <v>2354.394</v>
      </c>
      <c r="G9" s="63" t="s">
        <v>42</v>
      </c>
      <c r="H9" s="64" t="s">
        <v>326</v>
      </c>
      <c r="I9" s="64" t="s">
        <v>327</v>
      </c>
      <c r="J9" s="64" t="s">
        <v>328</v>
      </c>
      <c r="K9" s="64" t="s">
        <v>329</v>
      </c>
    </row>
    <row r="10">
      <c r="A10" s="58" t="s">
        <v>158</v>
      </c>
      <c r="B10" s="62"/>
      <c r="C10" s="59">
        <v>315.768</v>
      </c>
      <c r="D10" s="59">
        <v>0.0</v>
      </c>
      <c r="E10" s="59">
        <v>315.768</v>
      </c>
      <c r="G10" s="60" t="s">
        <v>37</v>
      </c>
      <c r="H10" s="61" t="s">
        <v>330</v>
      </c>
      <c r="I10" s="61" t="s">
        <v>331</v>
      </c>
      <c r="J10" s="61" t="s">
        <v>332</v>
      </c>
      <c r="K10" s="61" t="s">
        <v>333</v>
      </c>
    </row>
    <row r="11">
      <c r="A11" s="58" t="s">
        <v>46</v>
      </c>
      <c r="B11" s="59">
        <v>3639.873</v>
      </c>
      <c r="C11" s="59">
        <v>7650.734</v>
      </c>
      <c r="D11" s="59">
        <v>5753.636</v>
      </c>
      <c r="E11" s="59">
        <v>17044.243</v>
      </c>
      <c r="G11" s="63" t="s">
        <v>65</v>
      </c>
      <c r="H11" s="64" t="s">
        <v>334</v>
      </c>
      <c r="I11" s="64" t="s">
        <v>335</v>
      </c>
      <c r="J11" s="64" t="s">
        <v>336</v>
      </c>
      <c r="K11" s="64" t="s">
        <v>337</v>
      </c>
    </row>
    <row r="12">
      <c r="A12" s="58" t="s">
        <v>338</v>
      </c>
      <c r="B12" s="62"/>
      <c r="C12" s="62"/>
      <c r="D12" s="59">
        <v>571.309</v>
      </c>
      <c r="E12" s="59">
        <v>571.309</v>
      </c>
      <c r="G12" s="60" t="s">
        <v>35</v>
      </c>
      <c r="H12" s="61" t="s">
        <v>339</v>
      </c>
      <c r="I12" s="61" t="s">
        <v>340</v>
      </c>
      <c r="J12" s="61" t="s">
        <v>341</v>
      </c>
      <c r="K12" s="61" t="s">
        <v>342</v>
      </c>
    </row>
    <row r="13">
      <c r="A13" s="58" t="s">
        <v>106</v>
      </c>
      <c r="B13" s="59">
        <v>729.146</v>
      </c>
      <c r="C13" s="59">
        <v>1423.032</v>
      </c>
      <c r="D13" s="59">
        <v>428.824</v>
      </c>
      <c r="E13" s="59">
        <v>2581.002</v>
      </c>
      <c r="G13" s="63" t="s">
        <v>160</v>
      </c>
      <c r="H13" s="64" t="s">
        <v>343</v>
      </c>
      <c r="I13" s="64" t="s">
        <v>344</v>
      </c>
      <c r="J13" s="64" t="s">
        <v>345</v>
      </c>
      <c r="K13" s="64" t="s">
        <v>346</v>
      </c>
    </row>
    <row r="14">
      <c r="A14" s="58" t="s">
        <v>103</v>
      </c>
      <c r="B14" s="59">
        <v>1003.083</v>
      </c>
      <c r="C14" s="59">
        <v>2511.524</v>
      </c>
      <c r="D14" s="59">
        <v>779.354</v>
      </c>
      <c r="E14" s="59">
        <v>4293.961</v>
      </c>
      <c r="G14" s="60" t="s">
        <v>46</v>
      </c>
      <c r="H14" s="61" t="s">
        <v>347</v>
      </c>
      <c r="I14" s="61" t="s">
        <v>348</v>
      </c>
      <c r="J14" s="61" t="s">
        <v>349</v>
      </c>
      <c r="K14" s="61" t="s">
        <v>350</v>
      </c>
    </row>
    <row r="15">
      <c r="A15" s="58" t="s">
        <v>180</v>
      </c>
      <c r="B15" s="59">
        <v>565.999</v>
      </c>
      <c r="C15" s="62"/>
      <c r="D15" s="59">
        <v>0.0</v>
      </c>
      <c r="E15" s="59">
        <v>565.999</v>
      </c>
      <c r="G15" s="63" t="s">
        <v>52</v>
      </c>
      <c r="H15" s="64" t="s">
        <v>351</v>
      </c>
      <c r="I15" s="64" t="s">
        <v>352</v>
      </c>
      <c r="J15" s="64" t="s">
        <v>353</v>
      </c>
      <c r="K15" s="64" t="s">
        <v>354</v>
      </c>
    </row>
    <row r="16">
      <c r="A16" s="58" t="s">
        <v>154</v>
      </c>
      <c r="B16" s="59">
        <v>156.916</v>
      </c>
      <c r="C16" s="62"/>
      <c r="D16" s="59">
        <v>0.0</v>
      </c>
      <c r="E16" s="59">
        <v>156.916</v>
      </c>
      <c r="G16" s="60" t="s">
        <v>169</v>
      </c>
      <c r="H16" s="61" t="s">
        <v>355</v>
      </c>
      <c r="I16" s="61" t="s">
        <v>356</v>
      </c>
      <c r="J16" s="61" t="s">
        <v>357</v>
      </c>
      <c r="K16" s="61" t="s">
        <v>358</v>
      </c>
    </row>
    <row r="17">
      <c r="A17" s="58" t="s">
        <v>114</v>
      </c>
      <c r="B17" s="59">
        <v>420.552</v>
      </c>
      <c r="C17" s="59">
        <v>1765.452</v>
      </c>
      <c r="D17" s="59">
        <v>1464.979</v>
      </c>
      <c r="E17" s="59">
        <v>3650.983</v>
      </c>
      <c r="G17" s="63" t="s">
        <v>40</v>
      </c>
      <c r="H17" s="64" t="s">
        <v>359</v>
      </c>
      <c r="I17" s="64" t="s">
        <v>360</v>
      </c>
      <c r="J17" s="64" t="s">
        <v>361</v>
      </c>
      <c r="K17" s="64" t="s">
        <v>362</v>
      </c>
    </row>
    <row r="18">
      <c r="A18" s="58" t="s">
        <v>142</v>
      </c>
      <c r="B18" s="59">
        <v>1111.371</v>
      </c>
      <c r="C18" s="59">
        <v>249.051</v>
      </c>
      <c r="D18" s="59">
        <v>1127.962</v>
      </c>
      <c r="E18" s="59">
        <v>2488.384</v>
      </c>
      <c r="G18" s="60" t="s">
        <v>73</v>
      </c>
      <c r="H18" s="61" t="s">
        <v>363</v>
      </c>
      <c r="I18" s="61" t="s">
        <v>364</v>
      </c>
      <c r="J18" s="61" t="s">
        <v>365</v>
      </c>
      <c r="K18" s="61" t="s">
        <v>366</v>
      </c>
    </row>
    <row r="19">
      <c r="A19" s="58" t="s">
        <v>97</v>
      </c>
      <c r="B19" s="62"/>
      <c r="C19" s="62"/>
      <c r="D19" s="59">
        <v>4108.948</v>
      </c>
      <c r="E19" s="59">
        <v>4108.948</v>
      </c>
      <c r="G19" s="63" t="s">
        <v>186</v>
      </c>
      <c r="H19" s="64" t="s">
        <v>367</v>
      </c>
      <c r="I19" s="64" t="s">
        <v>368</v>
      </c>
      <c r="J19" s="64" t="s">
        <v>367</v>
      </c>
      <c r="K19" s="64" t="s">
        <v>368</v>
      </c>
    </row>
    <row r="20">
      <c r="A20" s="58" t="s">
        <v>187</v>
      </c>
      <c r="B20" s="59">
        <v>205.32</v>
      </c>
      <c r="C20" s="62"/>
      <c r="D20" s="59">
        <v>302.127</v>
      </c>
      <c r="E20" s="59">
        <v>507.447</v>
      </c>
      <c r="G20" s="60" t="s">
        <v>58</v>
      </c>
      <c r="H20" s="61" t="s">
        <v>369</v>
      </c>
      <c r="I20" s="61" t="s">
        <v>370</v>
      </c>
      <c r="J20" s="61" t="s">
        <v>371</v>
      </c>
      <c r="K20" s="61" t="s">
        <v>372</v>
      </c>
    </row>
    <row r="21">
      <c r="A21" s="58" t="s">
        <v>188</v>
      </c>
      <c r="B21" s="62"/>
      <c r="C21" s="59">
        <v>714.136</v>
      </c>
      <c r="D21" s="59">
        <v>0.0</v>
      </c>
      <c r="E21" s="59">
        <v>714.136</v>
      </c>
      <c r="G21" s="63" t="s">
        <v>54</v>
      </c>
      <c r="H21" s="64" t="s">
        <v>373</v>
      </c>
      <c r="I21" s="64" t="s">
        <v>374</v>
      </c>
      <c r="J21" s="64" t="s">
        <v>375</v>
      </c>
      <c r="K21" s="64" t="s">
        <v>376</v>
      </c>
    </row>
    <row r="22">
      <c r="A22" s="58" t="s">
        <v>189</v>
      </c>
      <c r="B22" s="59">
        <v>363.062</v>
      </c>
      <c r="C22" s="62"/>
      <c r="D22" s="59">
        <v>647.466</v>
      </c>
      <c r="E22" s="59">
        <v>1010.528</v>
      </c>
      <c r="G22" s="60" t="s">
        <v>60</v>
      </c>
      <c r="H22" s="61" t="s">
        <v>377</v>
      </c>
      <c r="I22" s="61" t="s">
        <v>378</v>
      </c>
      <c r="J22" s="61" t="s">
        <v>379</v>
      </c>
      <c r="K22" s="61" t="s">
        <v>380</v>
      </c>
    </row>
    <row r="23">
      <c r="A23" s="58" t="s">
        <v>87</v>
      </c>
      <c r="B23" s="62"/>
      <c r="C23" s="62"/>
      <c r="D23" s="59">
        <v>4283.671</v>
      </c>
      <c r="E23" s="59">
        <v>4283.671</v>
      </c>
      <c r="G23" s="63" t="s">
        <v>106</v>
      </c>
      <c r="H23" s="64" t="s">
        <v>381</v>
      </c>
      <c r="I23" s="64" t="s">
        <v>382</v>
      </c>
      <c r="J23" s="64" t="s">
        <v>383</v>
      </c>
      <c r="K23" s="64" t="s">
        <v>384</v>
      </c>
    </row>
    <row r="24">
      <c r="A24" s="58" t="s">
        <v>144</v>
      </c>
      <c r="B24" s="62"/>
      <c r="C24" s="62"/>
      <c r="D24" s="59">
        <v>233.215</v>
      </c>
      <c r="E24" s="59">
        <v>233.215</v>
      </c>
      <c r="G24" s="60" t="s">
        <v>77</v>
      </c>
      <c r="H24" s="61" t="s">
        <v>385</v>
      </c>
      <c r="I24" s="61" t="s">
        <v>386</v>
      </c>
      <c r="J24" s="61" t="s">
        <v>387</v>
      </c>
      <c r="K24" s="61" t="s">
        <v>388</v>
      </c>
    </row>
    <row r="25">
      <c r="A25" s="58" t="s">
        <v>28</v>
      </c>
      <c r="B25" s="59">
        <v>6901.333</v>
      </c>
      <c r="C25" s="59">
        <v>11844.587</v>
      </c>
      <c r="D25" s="59">
        <v>8362.185</v>
      </c>
      <c r="E25" s="59">
        <v>27108.105</v>
      </c>
      <c r="G25" s="63" t="s">
        <v>81</v>
      </c>
      <c r="H25" s="64" t="s">
        <v>389</v>
      </c>
      <c r="I25" s="64" t="s">
        <v>390</v>
      </c>
      <c r="J25" s="64" t="s">
        <v>391</v>
      </c>
      <c r="K25" s="64" t="s">
        <v>392</v>
      </c>
    </row>
    <row r="26">
      <c r="A26" s="58" t="s">
        <v>126</v>
      </c>
      <c r="B26" s="62"/>
      <c r="C26" s="59">
        <v>390.131</v>
      </c>
      <c r="D26" s="59">
        <v>0.0</v>
      </c>
      <c r="E26" s="59">
        <v>390.131</v>
      </c>
      <c r="G26" s="60" t="s">
        <v>48</v>
      </c>
      <c r="H26" s="61" t="s">
        <v>393</v>
      </c>
      <c r="I26" s="61" t="s">
        <v>394</v>
      </c>
      <c r="J26" s="61" t="s">
        <v>395</v>
      </c>
      <c r="K26" s="61" t="s">
        <v>396</v>
      </c>
    </row>
    <row r="27">
      <c r="A27" s="58" t="s">
        <v>136</v>
      </c>
      <c r="B27" s="62"/>
      <c r="C27" s="59">
        <v>988.059</v>
      </c>
      <c r="D27" s="59">
        <v>520.51</v>
      </c>
      <c r="E27" s="59">
        <v>1508.569</v>
      </c>
      <c r="G27" s="63" t="s">
        <v>69</v>
      </c>
      <c r="H27" s="64" t="s">
        <v>397</v>
      </c>
      <c r="I27" s="64" t="s">
        <v>398</v>
      </c>
      <c r="J27" s="64" t="s">
        <v>399</v>
      </c>
      <c r="K27" s="64" t="s">
        <v>400</v>
      </c>
    </row>
    <row r="28">
      <c r="A28" s="58" t="s">
        <v>44</v>
      </c>
      <c r="B28" s="59">
        <v>3660.771</v>
      </c>
      <c r="C28" s="59">
        <v>5752.859</v>
      </c>
      <c r="D28" s="59">
        <v>5078.156</v>
      </c>
      <c r="E28" s="59">
        <v>14491.786</v>
      </c>
      <c r="G28" s="60" t="s">
        <v>87</v>
      </c>
      <c r="H28" s="61" t="s">
        <v>401</v>
      </c>
      <c r="I28" s="61" t="s">
        <v>402</v>
      </c>
      <c r="J28" s="61" t="s">
        <v>403</v>
      </c>
      <c r="K28" s="61" t="s">
        <v>404</v>
      </c>
    </row>
    <row r="29">
      <c r="A29" s="58" t="s">
        <v>405</v>
      </c>
      <c r="B29" s="62"/>
      <c r="C29" s="59">
        <v>86.376</v>
      </c>
      <c r="D29" s="59">
        <v>0.0</v>
      </c>
      <c r="E29" s="59">
        <v>86.376</v>
      </c>
      <c r="G29" s="63" t="s">
        <v>218</v>
      </c>
      <c r="H29" s="64" t="s">
        <v>406</v>
      </c>
      <c r="I29" s="64" t="s">
        <v>407</v>
      </c>
      <c r="J29" s="64" t="s">
        <v>408</v>
      </c>
      <c r="K29" s="64" t="s">
        <v>409</v>
      </c>
    </row>
    <row r="30">
      <c r="A30" s="58" t="s">
        <v>410</v>
      </c>
      <c r="B30" s="59">
        <v>232.726</v>
      </c>
      <c r="C30" s="62"/>
      <c r="D30" s="59">
        <v>0.0</v>
      </c>
      <c r="E30" s="59">
        <v>232.726</v>
      </c>
      <c r="G30" s="60" t="s">
        <v>56</v>
      </c>
      <c r="H30" s="61" t="s">
        <v>411</v>
      </c>
      <c r="I30" s="61" t="s">
        <v>412</v>
      </c>
      <c r="J30" s="61" t="s">
        <v>413</v>
      </c>
      <c r="K30" s="61" t="s">
        <v>414</v>
      </c>
    </row>
    <row r="31">
      <c r="A31" s="58" t="s">
        <v>99</v>
      </c>
      <c r="B31" s="59">
        <v>766.764</v>
      </c>
      <c r="C31" s="59">
        <v>1007.011</v>
      </c>
      <c r="D31" s="59">
        <v>247.918</v>
      </c>
      <c r="E31" s="59">
        <v>2021.693</v>
      </c>
      <c r="G31" s="63" t="s">
        <v>50</v>
      </c>
      <c r="H31" s="64" t="s">
        <v>415</v>
      </c>
      <c r="I31" s="64" t="s">
        <v>416</v>
      </c>
      <c r="J31" s="64" t="s">
        <v>417</v>
      </c>
      <c r="K31" s="64" t="s">
        <v>418</v>
      </c>
    </row>
    <row r="32">
      <c r="A32" s="58" t="s">
        <v>200</v>
      </c>
      <c r="B32" s="62"/>
      <c r="C32" s="62"/>
      <c r="D32" s="59">
        <v>169.188</v>
      </c>
      <c r="E32" s="59">
        <v>169.188</v>
      </c>
      <c r="G32" s="60" t="s">
        <v>103</v>
      </c>
      <c r="H32" s="61" t="s">
        <v>419</v>
      </c>
      <c r="I32" s="61" t="s">
        <v>420</v>
      </c>
      <c r="J32" s="61" t="s">
        <v>421</v>
      </c>
      <c r="K32" s="61" t="s">
        <v>422</v>
      </c>
    </row>
    <row r="33">
      <c r="A33" s="58" t="s">
        <v>95</v>
      </c>
      <c r="B33" s="59">
        <v>1573.341</v>
      </c>
      <c r="C33" s="59">
        <v>2179.952</v>
      </c>
      <c r="D33" s="59">
        <v>1125.165</v>
      </c>
      <c r="E33" s="59">
        <v>4878.458</v>
      </c>
      <c r="G33" s="63" t="s">
        <v>79</v>
      </c>
      <c r="H33" s="64" t="s">
        <v>423</v>
      </c>
      <c r="I33" s="64" t="s">
        <v>424</v>
      </c>
      <c r="J33" s="64" t="s">
        <v>425</v>
      </c>
      <c r="K33" s="64" t="s">
        <v>426</v>
      </c>
    </row>
    <row r="34">
      <c r="A34" s="58" t="s">
        <v>69</v>
      </c>
      <c r="B34" s="59">
        <v>626.58</v>
      </c>
      <c r="C34" s="59">
        <v>942.725</v>
      </c>
      <c r="D34" s="59">
        <v>994.291</v>
      </c>
      <c r="E34" s="59">
        <v>2563.596</v>
      </c>
      <c r="G34" s="60" t="s">
        <v>95</v>
      </c>
      <c r="H34" s="61" t="s">
        <v>427</v>
      </c>
      <c r="I34" s="61" t="s">
        <v>428</v>
      </c>
      <c r="J34" s="61" t="s">
        <v>429</v>
      </c>
      <c r="K34" s="61" t="s">
        <v>430</v>
      </c>
    </row>
    <row r="35">
      <c r="A35" s="58" t="s">
        <v>431</v>
      </c>
      <c r="B35" s="62"/>
      <c r="C35" s="62"/>
      <c r="D35" s="59">
        <v>1446.614</v>
      </c>
      <c r="E35" s="59">
        <v>1446.614</v>
      </c>
      <c r="G35" s="63" t="s">
        <v>83</v>
      </c>
      <c r="H35" s="64" t="s">
        <v>432</v>
      </c>
      <c r="I35" s="64" t="s">
        <v>433</v>
      </c>
      <c r="J35" s="64" t="s">
        <v>434</v>
      </c>
      <c r="K35" s="64" t="s">
        <v>435</v>
      </c>
    </row>
    <row r="36">
      <c r="A36" s="58" t="s">
        <v>436</v>
      </c>
      <c r="B36" s="62"/>
      <c r="C36" s="59">
        <v>205.32</v>
      </c>
      <c r="D36" s="59">
        <v>0.0</v>
      </c>
      <c r="E36" s="59">
        <v>205.32</v>
      </c>
      <c r="G36" s="60" t="s">
        <v>437</v>
      </c>
      <c r="H36" s="61" t="s">
        <v>438</v>
      </c>
      <c r="I36" s="61" t="s">
        <v>439</v>
      </c>
      <c r="J36" s="61" t="s">
        <v>440</v>
      </c>
      <c r="K36" s="61" t="s">
        <v>441</v>
      </c>
    </row>
    <row r="37">
      <c r="A37" s="58" t="s">
        <v>60</v>
      </c>
      <c r="B37" s="59">
        <v>1586.642</v>
      </c>
      <c r="C37" s="59">
        <v>1391.928</v>
      </c>
      <c r="D37" s="59">
        <v>2688.536</v>
      </c>
      <c r="E37" s="59">
        <v>5667.106</v>
      </c>
      <c r="G37" s="63" t="s">
        <v>75</v>
      </c>
      <c r="H37" s="64" t="s">
        <v>442</v>
      </c>
      <c r="I37" s="64" t="s">
        <v>443</v>
      </c>
      <c r="J37" s="64" t="s">
        <v>444</v>
      </c>
      <c r="K37" s="64" t="s">
        <v>445</v>
      </c>
    </row>
    <row r="38">
      <c r="A38" s="58" t="s">
        <v>150</v>
      </c>
      <c r="B38" s="62"/>
      <c r="C38" s="59">
        <v>168.433</v>
      </c>
      <c r="D38" s="59">
        <v>427.419</v>
      </c>
      <c r="E38" s="59">
        <v>595.852</v>
      </c>
      <c r="G38" s="60" t="s">
        <v>142</v>
      </c>
      <c r="H38" s="61" t="s">
        <v>446</v>
      </c>
      <c r="I38" s="61" t="s">
        <v>447</v>
      </c>
      <c r="J38" s="61" t="s">
        <v>448</v>
      </c>
      <c r="K38" s="61" t="s">
        <v>449</v>
      </c>
    </row>
    <row r="39">
      <c r="A39" s="58" t="s">
        <v>37</v>
      </c>
      <c r="B39" s="59">
        <v>5854.738</v>
      </c>
      <c r="C39" s="59">
        <v>6385.983</v>
      </c>
      <c r="D39" s="59">
        <v>4912.862</v>
      </c>
      <c r="E39" s="59">
        <v>17153.583</v>
      </c>
      <c r="G39" s="63" t="s">
        <v>108</v>
      </c>
      <c r="H39" s="64" t="s">
        <v>450</v>
      </c>
      <c r="I39" s="64" t="s">
        <v>451</v>
      </c>
      <c r="J39" s="64" t="s">
        <v>452</v>
      </c>
      <c r="K39" s="64" t="s">
        <v>453</v>
      </c>
    </row>
    <row r="40">
      <c r="A40" s="58" t="s">
        <v>77</v>
      </c>
      <c r="B40" s="59">
        <v>1599.455</v>
      </c>
      <c r="C40" s="59">
        <v>2500.728</v>
      </c>
      <c r="D40" s="59">
        <v>2149.938</v>
      </c>
      <c r="E40" s="59">
        <v>6250.121</v>
      </c>
      <c r="G40" s="60" t="s">
        <v>124</v>
      </c>
      <c r="H40" s="61" t="s">
        <v>454</v>
      </c>
      <c r="I40" s="61" t="s">
        <v>455</v>
      </c>
      <c r="J40" s="61" t="s">
        <v>456</v>
      </c>
      <c r="K40" s="61" t="s">
        <v>457</v>
      </c>
    </row>
    <row r="41">
      <c r="A41" s="58" t="s">
        <v>65</v>
      </c>
      <c r="B41" s="59">
        <v>1007.927</v>
      </c>
      <c r="C41" s="59">
        <v>2989.387</v>
      </c>
      <c r="D41" s="59">
        <v>3962.847</v>
      </c>
      <c r="E41" s="59">
        <v>7960.161</v>
      </c>
      <c r="G41" s="63" t="s">
        <v>97</v>
      </c>
      <c r="H41" s="64" t="s">
        <v>458</v>
      </c>
      <c r="I41" s="64" t="s">
        <v>459</v>
      </c>
      <c r="J41" s="64" t="s">
        <v>460</v>
      </c>
      <c r="K41" s="64" t="s">
        <v>461</v>
      </c>
    </row>
    <row r="42">
      <c r="A42" s="58" t="s">
        <v>138</v>
      </c>
      <c r="B42" s="62"/>
      <c r="C42" s="62"/>
      <c r="D42" s="59">
        <v>156.916</v>
      </c>
      <c r="E42" s="59">
        <v>156.916</v>
      </c>
      <c r="G42" s="60" t="s">
        <v>187</v>
      </c>
      <c r="H42" s="61" t="s">
        <v>462</v>
      </c>
      <c r="I42" s="61" t="s">
        <v>463</v>
      </c>
      <c r="J42" s="61" t="s">
        <v>464</v>
      </c>
      <c r="K42" s="61" t="s">
        <v>465</v>
      </c>
    </row>
    <row r="43">
      <c r="A43" s="58" t="s">
        <v>110</v>
      </c>
      <c r="B43" s="59">
        <v>394.285</v>
      </c>
      <c r="C43" s="59">
        <v>1066.767</v>
      </c>
      <c r="D43" s="59">
        <v>430.779</v>
      </c>
      <c r="E43" s="59">
        <v>1891.831</v>
      </c>
      <c r="G43" s="63" t="s">
        <v>67</v>
      </c>
      <c r="H43" s="64" t="s">
        <v>466</v>
      </c>
      <c r="I43" s="64" t="s">
        <v>467</v>
      </c>
      <c r="J43" s="64" t="s">
        <v>468</v>
      </c>
      <c r="K43" s="64" t="s">
        <v>469</v>
      </c>
    </row>
    <row r="44">
      <c r="A44" s="58" t="s">
        <v>167</v>
      </c>
      <c r="B44" s="62"/>
      <c r="C44" s="62"/>
      <c r="D44" s="59">
        <v>323.733</v>
      </c>
      <c r="E44" s="59">
        <v>323.733</v>
      </c>
      <c r="G44" s="60" t="s">
        <v>91</v>
      </c>
      <c r="H44" s="61" t="s">
        <v>470</v>
      </c>
      <c r="I44" s="61" t="s">
        <v>471</v>
      </c>
      <c r="J44" s="61" t="s">
        <v>472</v>
      </c>
      <c r="K44" s="61" t="s">
        <v>473</v>
      </c>
    </row>
    <row r="45">
      <c r="A45" s="58" t="s">
        <v>116</v>
      </c>
      <c r="B45" s="59">
        <v>610.036</v>
      </c>
      <c r="C45" s="59">
        <v>1179.068</v>
      </c>
      <c r="D45" s="59">
        <v>450.594</v>
      </c>
      <c r="E45" s="59">
        <v>2239.698</v>
      </c>
      <c r="G45" s="63" t="s">
        <v>134</v>
      </c>
      <c r="H45" s="64" t="s">
        <v>474</v>
      </c>
      <c r="I45" s="64" t="s">
        <v>475</v>
      </c>
      <c r="J45" s="64" t="s">
        <v>476</v>
      </c>
      <c r="K45" s="64" t="s">
        <v>477</v>
      </c>
    </row>
    <row r="46">
      <c r="A46" s="58" t="s">
        <v>58</v>
      </c>
      <c r="B46" s="59">
        <v>1944.814</v>
      </c>
      <c r="C46" s="59">
        <v>1589.915</v>
      </c>
      <c r="D46" s="59">
        <v>1095.654</v>
      </c>
      <c r="E46" s="59">
        <v>4630.383</v>
      </c>
      <c r="G46" s="60" t="s">
        <v>114</v>
      </c>
      <c r="H46" s="61" t="s">
        <v>478</v>
      </c>
      <c r="I46" s="61" t="s">
        <v>479</v>
      </c>
      <c r="J46" s="61" t="s">
        <v>480</v>
      </c>
      <c r="K46" s="61" t="s">
        <v>481</v>
      </c>
    </row>
    <row r="47">
      <c r="A47" s="58" t="s">
        <v>156</v>
      </c>
      <c r="B47" s="59">
        <v>177.0</v>
      </c>
      <c r="C47" s="62"/>
      <c r="D47" s="59">
        <v>428.482</v>
      </c>
      <c r="E47" s="59">
        <v>605.482</v>
      </c>
      <c r="G47" s="63" t="s">
        <v>101</v>
      </c>
      <c r="H47" s="64" t="s">
        <v>482</v>
      </c>
      <c r="I47" s="64" t="s">
        <v>483</v>
      </c>
      <c r="J47" s="64" t="s">
        <v>484</v>
      </c>
      <c r="K47" s="64" t="s">
        <v>485</v>
      </c>
    </row>
    <row r="48">
      <c r="A48" s="58" t="s">
        <v>26</v>
      </c>
      <c r="B48" s="59">
        <v>8544.833</v>
      </c>
      <c r="C48" s="59">
        <v>6897.984</v>
      </c>
      <c r="D48" s="59">
        <v>20577.612</v>
      </c>
      <c r="E48" s="59">
        <v>36020.429</v>
      </c>
      <c r="G48" s="60" t="s">
        <v>110</v>
      </c>
      <c r="H48" s="61" t="s">
        <v>486</v>
      </c>
      <c r="I48" s="61" t="s">
        <v>487</v>
      </c>
      <c r="J48" s="61" t="s">
        <v>488</v>
      </c>
      <c r="K48" s="61" t="s">
        <v>489</v>
      </c>
    </row>
    <row r="49">
      <c r="A49" s="58" t="s">
        <v>490</v>
      </c>
      <c r="B49" s="62"/>
      <c r="C49" s="59">
        <v>129.493</v>
      </c>
      <c r="D49" s="59">
        <v>0.0</v>
      </c>
      <c r="E49" s="59">
        <v>129.493</v>
      </c>
      <c r="G49" s="63" t="s">
        <v>85</v>
      </c>
      <c r="H49" s="64" t="s">
        <v>491</v>
      </c>
      <c r="I49" s="64" t="s">
        <v>492</v>
      </c>
      <c r="J49" s="64" t="s">
        <v>493</v>
      </c>
      <c r="K49" s="64" t="s">
        <v>494</v>
      </c>
    </row>
    <row r="50">
      <c r="A50" s="58" t="s">
        <v>79</v>
      </c>
      <c r="B50" s="59">
        <v>1810.604</v>
      </c>
      <c r="C50" s="59">
        <v>622.797</v>
      </c>
      <c r="D50" s="59">
        <v>2070.001</v>
      </c>
      <c r="E50" s="59">
        <v>4503.402</v>
      </c>
      <c r="G50" s="60" t="s">
        <v>93</v>
      </c>
      <c r="H50" s="61" t="s">
        <v>495</v>
      </c>
      <c r="I50" s="61" t="s">
        <v>496</v>
      </c>
      <c r="J50" s="61" t="s">
        <v>497</v>
      </c>
      <c r="K50" s="61" t="s">
        <v>498</v>
      </c>
    </row>
    <row r="51">
      <c r="A51" s="58" t="s">
        <v>134</v>
      </c>
      <c r="B51" s="59">
        <v>301.514</v>
      </c>
      <c r="C51" s="59">
        <v>570.247</v>
      </c>
      <c r="D51" s="59">
        <v>0.0</v>
      </c>
      <c r="E51" s="59">
        <v>871.761</v>
      </c>
      <c r="G51" s="63" t="s">
        <v>118</v>
      </c>
      <c r="H51" s="64" t="s">
        <v>499</v>
      </c>
      <c r="I51" s="64" t="s">
        <v>500</v>
      </c>
      <c r="J51" s="64" t="s">
        <v>501</v>
      </c>
      <c r="K51" s="64" t="s">
        <v>502</v>
      </c>
    </row>
    <row r="52">
      <c r="A52" s="58" t="s">
        <v>71</v>
      </c>
      <c r="B52" s="59">
        <v>1847.434</v>
      </c>
      <c r="C52" s="59">
        <v>1267.096</v>
      </c>
      <c r="D52" s="59">
        <v>1477.265</v>
      </c>
      <c r="E52" s="59">
        <v>4591.795</v>
      </c>
      <c r="G52" s="60" t="s">
        <v>138</v>
      </c>
      <c r="H52" s="61" t="s">
        <v>503</v>
      </c>
      <c r="I52" s="61" t="s">
        <v>504</v>
      </c>
      <c r="J52" s="61" t="s">
        <v>497</v>
      </c>
      <c r="K52" s="61" t="s">
        <v>505</v>
      </c>
    </row>
    <row r="53">
      <c r="A53" s="58" t="s">
        <v>42</v>
      </c>
      <c r="B53" s="59">
        <v>2369.562</v>
      </c>
      <c r="C53" s="59">
        <v>3349.818</v>
      </c>
      <c r="D53" s="59">
        <v>4648.748</v>
      </c>
      <c r="E53" s="59">
        <v>10368.128</v>
      </c>
      <c r="G53" s="63" t="s">
        <v>71</v>
      </c>
      <c r="H53" s="64" t="s">
        <v>506</v>
      </c>
      <c r="I53" s="64" t="s">
        <v>507</v>
      </c>
      <c r="J53" s="64" t="s">
        <v>508</v>
      </c>
      <c r="K53" s="64" t="s">
        <v>509</v>
      </c>
    </row>
    <row r="54">
      <c r="A54" s="58" t="s">
        <v>205</v>
      </c>
      <c r="B54" s="59">
        <v>363.794</v>
      </c>
      <c r="C54" s="59">
        <v>386.887</v>
      </c>
      <c r="D54" s="59">
        <v>0.0</v>
      </c>
      <c r="E54" s="59">
        <v>750.681</v>
      </c>
      <c r="G54" s="60" t="s">
        <v>148</v>
      </c>
      <c r="H54" s="61" t="s">
        <v>510</v>
      </c>
      <c r="I54" s="61" t="s">
        <v>511</v>
      </c>
      <c r="J54" s="61" t="s">
        <v>512</v>
      </c>
      <c r="K54" s="61" t="s">
        <v>513</v>
      </c>
    </row>
    <row r="55">
      <c r="A55" s="58" t="s">
        <v>89</v>
      </c>
      <c r="B55" s="59">
        <v>1681.654</v>
      </c>
      <c r="C55" s="59">
        <v>567.084</v>
      </c>
      <c r="D55" s="59">
        <v>175.631</v>
      </c>
      <c r="E55" s="59">
        <v>2424.369</v>
      </c>
      <c r="G55" s="63" t="s">
        <v>120</v>
      </c>
      <c r="H55" s="64" t="s">
        <v>514</v>
      </c>
      <c r="I55" s="64" t="s">
        <v>515</v>
      </c>
      <c r="J55" s="64" t="s">
        <v>516</v>
      </c>
      <c r="K55" s="64" t="s">
        <v>517</v>
      </c>
    </row>
    <row r="56">
      <c r="A56" s="58" t="s">
        <v>146</v>
      </c>
      <c r="B56" s="62"/>
      <c r="C56" s="59">
        <v>254.88</v>
      </c>
      <c r="D56" s="59">
        <v>505.5</v>
      </c>
      <c r="E56" s="59">
        <v>760.38</v>
      </c>
      <c r="G56" s="60" t="s">
        <v>205</v>
      </c>
      <c r="H56" s="61" t="s">
        <v>518</v>
      </c>
      <c r="I56" s="61" t="s">
        <v>519</v>
      </c>
      <c r="J56" s="61" t="s">
        <v>520</v>
      </c>
      <c r="K56" s="61" t="s">
        <v>521</v>
      </c>
    </row>
    <row r="57">
      <c r="A57" s="58" t="s">
        <v>162</v>
      </c>
      <c r="B57" s="62"/>
      <c r="C57" s="62"/>
      <c r="D57" s="59">
        <v>297.083</v>
      </c>
      <c r="E57" s="59">
        <v>297.083</v>
      </c>
      <c r="G57" s="63" t="s">
        <v>112</v>
      </c>
      <c r="H57" s="64" t="s">
        <v>367</v>
      </c>
      <c r="I57" s="64" t="s">
        <v>522</v>
      </c>
      <c r="J57" s="64" t="s">
        <v>497</v>
      </c>
      <c r="K57" s="64" t="s">
        <v>523</v>
      </c>
    </row>
    <row r="58">
      <c r="A58" s="58" t="s">
        <v>67</v>
      </c>
      <c r="B58" s="59">
        <v>224.015</v>
      </c>
      <c r="C58" s="59">
        <v>1610.783</v>
      </c>
      <c r="D58" s="59">
        <v>1342.643</v>
      </c>
      <c r="E58" s="59">
        <v>3177.441</v>
      </c>
      <c r="G58" s="60" t="s">
        <v>116</v>
      </c>
      <c r="H58" s="61" t="s">
        <v>524</v>
      </c>
      <c r="I58" s="61" t="s">
        <v>525</v>
      </c>
      <c r="J58" s="61" t="s">
        <v>526</v>
      </c>
      <c r="K58" s="61" t="s">
        <v>527</v>
      </c>
    </row>
    <row r="59">
      <c r="A59" s="58" t="s">
        <v>528</v>
      </c>
      <c r="B59" s="59">
        <v>100.961</v>
      </c>
      <c r="C59" s="62"/>
      <c r="D59" s="59">
        <v>0.0</v>
      </c>
      <c r="E59" s="59">
        <v>100.961</v>
      </c>
      <c r="G59" s="63" t="s">
        <v>136</v>
      </c>
      <c r="H59" s="64" t="s">
        <v>367</v>
      </c>
      <c r="I59" s="64" t="s">
        <v>529</v>
      </c>
      <c r="J59" s="64" t="s">
        <v>530</v>
      </c>
      <c r="K59" s="64" t="s">
        <v>531</v>
      </c>
    </row>
    <row r="60">
      <c r="A60" s="58" t="s">
        <v>40</v>
      </c>
      <c r="B60" s="59">
        <v>2677.39</v>
      </c>
      <c r="C60" s="59">
        <v>4151.871</v>
      </c>
      <c r="D60" s="59">
        <v>3378.972</v>
      </c>
      <c r="E60" s="59">
        <v>10208.233</v>
      </c>
      <c r="G60" s="60" t="s">
        <v>150</v>
      </c>
      <c r="H60" s="61" t="s">
        <v>367</v>
      </c>
      <c r="I60" s="61" t="s">
        <v>532</v>
      </c>
      <c r="J60" s="61" t="s">
        <v>533</v>
      </c>
      <c r="K60" s="61" t="s">
        <v>534</v>
      </c>
    </row>
    <row r="61">
      <c r="A61" s="58" t="s">
        <v>535</v>
      </c>
      <c r="B61" s="59">
        <v>488.52</v>
      </c>
      <c r="C61" s="59">
        <v>175.631</v>
      </c>
      <c r="D61" s="59">
        <v>1778.501</v>
      </c>
      <c r="E61" s="59">
        <v>2442.652</v>
      </c>
      <c r="G61" s="63" t="s">
        <v>226</v>
      </c>
      <c r="H61" s="64" t="s">
        <v>536</v>
      </c>
      <c r="I61" s="64" t="s">
        <v>537</v>
      </c>
      <c r="J61" s="64" t="s">
        <v>538</v>
      </c>
      <c r="K61" s="64" t="s">
        <v>539</v>
      </c>
    </row>
    <row r="62">
      <c r="A62" s="58" t="s">
        <v>540</v>
      </c>
      <c r="B62" s="59">
        <v>11587.717</v>
      </c>
      <c r="C62" s="59">
        <v>38948.391</v>
      </c>
      <c r="D62" s="59">
        <v>18772.786</v>
      </c>
      <c r="E62" s="59">
        <v>69308.894</v>
      </c>
      <c r="G62" s="60" t="s">
        <v>89</v>
      </c>
      <c r="H62" s="61" t="s">
        <v>541</v>
      </c>
      <c r="I62" s="61" t="s">
        <v>542</v>
      </c>
      <c r="J62" s="61" t="s">
        <v>367</v>
      </c>
      <c r="K62" s="61" t="s">
        <v>543</v>
      </c>
    </row>
    <row r="63">
      <c r="A63" s="58" t="s">
        <v>544</v>
      </c>
      <c r="B63" s="59">
        <v>1508.489</v>
      </c>
      <c r="C63" s="59">
        <v>3624.632</v>
      </c>
      <c r="D63" s="59">
        <v>2795.409</v>
      </c>
      <c r="E63" s="59">
        <v>7928.53</v>
      </c>
      <c r="G63" s="63" t="s">
        <v>99</v>
      </c>
      <c r="H63" s="64" t="s">
        <v>367</v>
      </c>
      <c r="I63" s="64" t="s">
        <v>545</v>
      </c>
      <c r="J63" s="64" t="s">
        <v>546</v>
      </c>
      <c r="K63" s="64" t="s">
        <v>547</v>
      </c>
    </row>
    <row r="64">
      <c r="A64" s="58" t="s">
        <v>548</v>
      </c>
      <c r="B64" s="59">
        <v>399.593</v>
      </c>
      <c r="C64" s="62"/>
      <c r="D64" s="59">
        <v>1409.12</v>
      </c>
      <c r="E64" s="59">
        <v>1808.713</v>
      </c>
      <c r="G64" s="60" t="s">
        <v>200</v>
      </c>
      <c r="H64" s="61" t="s">
        <v>367</v>
      </c>
      <c r="I64" s="61" t="s">
        <v>549</v>
      </c>
      <c r="J64" s="61" t="s">
        <v>550</v>
      </c>
      <c r="K64" s="61" t="s">
        <v>551</v>
      </c>
    </row>
    <row r="65">
      <c r="A65" s="58" t="s">
        <v>552</v>
      </c>
      <c r="B65" s="59">
        <v>1523.758</v>
      </c>
      <c r="C65" s="59">
        <v>4342.836</v>
      </c>
      <c r="D65" s="59">
        <v>3212.101</v>
      </c>
      <c r="E65" s="59">
        <v>9078.695</v>
      </c>
      <c r="G65" s="63" t="s">
        <v>156</v>
      </c>
      <c r="H65" s="64" t="s">
        <v>367</v>
      </c>
      <c r="I65" s="64" t="s">
        <v>553</v>
      </c>
      <c r="J65" s="64" t="s">
        <v>554</v>
      </c>
      <c r="K65" s="64" t="s">
        <v>555</v>
      </c>
    </row>
    <row r="66">
      <c r="A66" s="58" t="s">
        <v>556</v>
      </c>
      <c r="B66" s="62"/>
      <c r="C66" s="59">
        <v>40.309</v>
      </c>
      <c r="D66" s="59">
        <v>0.0</v>
      </c>
      <c r="E66" s="59">
        <v>40.309</v>
      </c>
      <c r="G66" s="60" t="s">
        <v>548</v>
      </c>
      <c r="H66" s="61" t="s">
        <v>557</v>
      </c>
      <c r="I66" s="61" t="s">
        <v>367</v>
      </c>
      <c r="J66" s="61" t="s">
        <v>558</v>
      </c>
      <c r="K66" s="61" t="s">
        <v>559</v>
      </c>
    </row>
    <row r="67">
      <c r="A67" s="58" t="s">
        <v>52</v>
      </c>
      <c r="B67" s="59">
        <v>1897.034</v>
      </c>
      <c r="C67" s="59">
        <v>3099.806</v>
      </c>
      <c r="D67" s="59">
        <v>5426.638</v>
      </c>
      <c r="E67" s="59">
        <v>10423.478</v>
      </c>
      <c r="G67" s="63" t="s">
        <v>158</v>
      </c>
      <c r="H67" s="64" t="s">
        <v>560</v>
      </c>
      <c r="I67" s="64" t="s">
        <v>367</v>
      </c>
      <c r="J67" s="64" t="s">
        <v>497</v>
      </c>
      <c r="K67" s="64" t="s">
        <v>561</v>
      </c>
    </row>
    <row r="68">
      <c r="A68" s="58" t="s">
        <v>33</v>
      </c>
      <c r="B68" s="59">
        <v>6748.587</v>
      </c>
      <c r="C68" s="59">
        <v>16520.436</v>
      </c>
      <c r="D68" s="59">
        <v>14441.784</v>
      </c>
      <c r="E68" s="59">
        <v>37710.807</v>
      </c>
      <c r="G68" s="60" t="s">
        <v>132</v>
      </c>
      <c r="H68" s="61" t="s">
        <v>367</v>
      </c>
      <c r="I68" s="61" t="s">
        <v>562</v>
      </c>
      <c r="J68" s="61" t="s">
        <v>563</v>
      </c>
      <c r="K68" s="61" t="s">
        <v>564</v>
      </c>
    </row>
    <row r="69">
      <c r="A69" s="58" t="s">
        <v>112</v>
      </c>
      <c r="B69" s="59">
        <v>1342.621</v>
      </c>
      <c r="C69" s="59">
        <v>708.236</v>
      </c>
      <c r="D69" s="59">
        <v>466.855</v>
      </c>
      <c r="E69" s="59">
        <v>2517.712</v>
      </c>
      <c r="G69" s="63" t="s">
        <v>188</v>
      </c>
      <c r="H69" s="64" t="s">
        <v>367</v>
      </c>
      <c r="I69" s="64" t="s">
        <v>565</v>
      </c>
      <c r="J69" s="64" t="s">
        <v>566</v>
      </c>
      <c r="K69" s="64" t="s">
        <v>567</v>
      </c>
    </row>
    <row r="70">
      <c r="A70" s="58" t="s">
        <v>169</v>
      </c>
      <c r="B70" s="59">
        <v>1897.252</v>
      </c>
      <c r="C70" s="59">
        <v>1250.256</v>
      </c>
      <c r="D70" s="59">
        <v>3435.615</v>
      </c>
      <c r="E70" s="59">
        <v>6583.123</v>
      </c>
      <c r="G70" s="60" t="s">
        <v>230</v>
      </c>
      <c r="H70" s="61" t="s">
        <v>367</v>
      </c>
      <c r="I70" s="61" t="s">
        <v>549</v>
      </c>
      <c r="J70" s="61" t="s">
        <v>568</v>
      </c>
      <c r="K70" s="61" t="s">
        <v>569</v>
      </c>
    </row>
    <row r="71">
      <c r="A71" s="58" t="s">
        <v>218</v>
      </c>
      <c r="B71" s="59">
        <v>215.751</v>
      </c>
      <c r="C71" s="59">
        <v>105.091</v>
      </c>
      <c r="D71" s="59">
        <v>673.402</v>
      </c>
      <c r="E71" s="59">
        <v>994.244</v>
      </c>
      <c r="G71" s="63" t="s">
        <v>126</v>
      </c>
      <c r="H71" s="64" t="s">
        <v>367</v>
      </c>
      <c r="I71" s="64" t="s">
        <v>570</v>
      </c>
      <c r="J71" s="64" t="s">
        <v>571</v>
      </c>
      <c r="K71" s="64" t="s">
        <v>572</v>
      </c>
    </row>
    <row r="72">
      <c r="A72" s="58" t="s">
        <v>220</v>
      </c>
      <c r="B72" s="62"/>
      <c r="C72" s="62"/>
      <c r="D72" s="59">
        <v>178.475</v>
      </c>
      <c r="E72" s="59">
        <v>178.475</v>
      </c>
      <c r="G72" s="60" t="s">
        <v>162</v>
      </c>
      <c r="H72" s="61" t="s">
        <v>573</v>
      </c>
      <c r="I72" s="61" t="s">
        <v>574</v>
      </c>
      <c r="J72" s="61" t="s">
        <v>367</v>
      </c>
      <c r="K72" s="61" t="s">
        <v>575</v>
      </c>
    </row>
    <row r="73">
      <c r="A73" s="58" t="s">
        <v>222</v>
      </c>
      <c r="B73" s="62"/>
      <c r="C73" s="59">
        <v>129.493</v>
      </c>
      <c r="D73" s="59">
        <v>40.309</v>
      </c>
      <c r="E73" s="59">
        <v>169.802</v>
      </c>
      <c r="G73" s="63" t="s">
        <v>220</v>
      </c>
      <c r="H73" s="64" t="s">
        <v>576</v>
      </c>
      <c r="I73" s="64" t="s">
        <v>367</v>
      </c>
      <c r="J73" s="64" t="s">
        <v>367</v>
      </c>
      <c r="K73" s="64" t="s">
        <v>576</v>
      </c>
    </row>
    <row r="74">
      <c r="A74" s="58" t="s">
        <v>132</v>
      </c>
      <c r="B74" s="62"/>
      <c r="C74" s="59">
        <v>322.47</v>
      </c>
      <c r="D74" s="59">
        <v>0.0</v>
      </c>
      <c r="E74" s="59">
        <v>322.47</v>
      </c>
      <c r="G74" s="60" t="s">
        <v>167</v>
      </c>
      <c r="H74" s="61" t="s">
        <v>577</v>
      </c>
      <c r="I74" s="61" t="s">
        <v>578</v>
      </c>
      <c r="J74" s="61" t="s">
        <v>579</v>
      </c>
      <c r="K74" s="61" t="s">
        <v>580</v>
      </c>
    </row>
    <row r="75">
      <c r="A75" s="58" t="s">
        <v>152</v>
      </c>
      <c r="B75" s="59">
        <v>189.744</v>
      </c>
      <c r="C75" s="62"/>
      <c r="D75" s="59">
        <v>0.0</v>
      </c>
      <c r="E75" s="59">
        <v>189.744</v>
      </c>
      <c r="G75" s="63" t="s">
        <v>152</v>
      </c>
      <c r="H75" s="64" t="s">
        <v>367</v>
      </c>
      <c r="I75" s="64" t="s">
        <v>367</v>
      </c>
      <c r="J75" s="64" t="s">
        <v>581</v>
      </c>
      <c r="K75" s="64" t="s">
        <v>581</v>
      </c>
    </row>
    <row r="76">
      <c r="A76" s="58" t="s">
        <v>120</v>
      </c>
      <c r="B76" s="59">
        <v>175.631</v>
      </c>
      <c r="C76" s="59">
        <v>233.215</v>
      </c>
      <c r="D76" s="59">
        <v>1149.084</v>
      </c>
      <c r="E76" s="59">
        <v>1557.93</v>
      </c>
      <c r="G76" s="60" t="s">
        <v>144</v>
      </c>
      <c r="H76" s="61" t="s">
        <v>367</v>
      </c>
      <c r="I76" s="61" t="s">
        <v>582</v>
      </c>
      <c r="J76" s="61" t="s">
        <v>367</v>
      </c>
      <c r="K76" s="61" t="s">
        <v>582</v>
      </c>
    </row>
    <row r="77">
      <c r="A77" s="58" t="s">
        <v>583</v>
      </c>
      <c r="B77" s="59">
        <v>1729.364</v>
      </c>
      <c r="C77" s="59">
        <v>527.539</v>
      </c>
      <c r="D77" s="59">
        <v>1009.915</v>
      </c>
      <c r="E77" s="59">
        <v>3266.818</v>
      </c>
      <c r="G77" s="63" t="s">
        <v>584</v>
      </c>
      <c r="H77" s="64" t="s">
        <v>367</v>
      </c>
      <c r="I77" s="64" t="s">
        <v>367</v>
      </c>
      <c r="J77" s="64" t="s">
        <v>472</v>
      </c>
      <c r="K77" s="64" t="s">
        <v>472</v>
      </c>
    </row>
    <row r="78">
      <c r="A78" s="58" t="s">
        <v>585</v>
      </c>
      <c r="B78" s="59">
        <v>3436.398</v>
      </c>
      <c r="C78" s="59">
        <v>2653.937</v>
      </c>
      <c r="D78" s="59">
        <v>3526.384</v>
      </c>
      <c r="E78" s="59">
        <v>9616.719</v>
      </c>
      <c r="G78" s="60" t="s">
        <v>189</v>
      </c>
      <c r="H78" s="61" t="s">
        <v>367</v>
      </c>
      <c r="I78" s="61" t="s">
        <v>586</v>
      </c>
      <c r="J78" s="61" t="s">
        <v>367</v>
      </c>
      <c r="K78" s="61" t="s">
        <v>586</v>
      </c>
    </row>
    <row r="79">
      <c r="A79" s="58" t="s">
        <v>587</v>
      </c>
      <c r="B79" s="59">
        <v>1204.484</v>
      </c>
      <c r="C79" s="59">
        <v>798.514</v>
      </c>
      <c r="D79" s="59">
        <v>1154.571</v>
      </c>
      <c r="E79" s="59">
        <v>3157.569</v>
      </c>
      <c r="G79" s="63" t="s">
        <v>130</v>
      </c>
      <c r="H79" s="64" t="s">
        <v>588</v>
      </c>
      <c r="I79" s="64" t="s">
        <v>367</v>
      </c>
      <c r="J79" s="64" t="s">
        <v>589</v>
      </c>
      <c r="K79" s="64" t="s">
        <v>590</v>
      </c>
    </row>
    <row r="80">
      <c r="A80" s="58" t="s">
        <v>591</v>
      </c>
      <c r="B80" s="59">
        <v>156.916</v>
      </c>
      <c r="C80" s="59">
        <v>233.18</v>
      </c>
      <c r="D80" s="59">
        <v>133.977</v>
      </c>
      <c r="E80" s="59">
        <v>524.073</v>
      </c>
      <c r="G80" s="60" t="s">
        <v>592</v>
      </c>
      <c r="H80" s="61" t="s">
        <v>367</v>
      </c>
      <c r="I80" s="61" t="s">
        <v>367</v>
      </c>
      <c r="J80" s="61" t="s">
        <v>593</v>
      </c>
      <c r="K80" s="61" t="s">
        <v>593</v>
      </c>
    </row>
    <row r="81">
      <c r="A81" s="58" t="s">
        <v>81</v>
      </c>
      <c r="B81" s="62"/>
      <c r="C81" s="59">
        <v>1099.866</v>
      </c>
      <c r="D81" s="59">
        <v>2098.101</v>
      </c>
      <c r="E81" s="59">
        <v>3197.967</v>
      </c>
      <c r="G81" s="63" t="s">
        <v>190</v>
      </c>
      <c r="H81" s="64" t="s">
        <v>594</v>
      </c>
      <c r="I81" s="64" t="s">
        <v>367</v>
      </c>
      <c r="J81" s="64" t="s">
        <v>367</v>
      </c>
      <c r="K81" s="64" t="s">
        <v>594</v>
      </c>
    </row>
    <row r="82">
      <c r="A82" s="58" t="s">
        <v>595</v>
      </c>
      <c r="B82" s="62"/>
      <c r="C82" s="62"/>
      <c r="D82" s="59">
        <v>285.654</v>
      </c>
      <c r="E82" s="59">
        <v>285.654</v>
      </c>
      <c r="G82" s="60" t="s">
        <v>258</v>
      </c>
      <c r="H82" s="61" t="s">
        <v>596</v>
      </c>
      <c r="I82" s="61" t="s">
        <v>367</v>
      </c>
      <c r="J82" s="61" t="s">
        <v>367</v>
      </c>
      <c r="K82" s="61" t="s">
        <v>596</v>
      </c>
    </row>
    <row r="83">
      <c r="A83" s="58" t="s">
        <v>597</v>
      </c>
      <c r="B83" s="62"/>
      <c r="C83" s="59">
        <v>233.215</v>
      </c>
      <c r="D83" s="59">
        <v>0.0</v>
      </c>
      <c r="E83" s="59">
        <v>233.215</v>
      </c>
      <c r="G83" s="63" t="s">
        <v>410</v>
      </c>
      <c r="H83" s="64" t="s">
        <v>367</v>
      </c>
      <c r="I83" s="64" t="s">
        <v>598</v>
      </c>
      <c r="J83" s="64" t="s">
        <v>367</v>
      </c>
      <c r="K83" s="64" t="s">
        <v>598</v>
      </c>
    </row>
    <row r="84">
      <c r="A84" s="58" t="s">
        <v>73</v>
      </c>
      <c r="B84" s="59">
        <v>1846.582</v>
      </c>
      <c r="C84" s="59">
        <v>1913.32</v>
      </c>
      <c r="D84" s="59">
        <v>2598.903</v>
      </c>
      <c r="E84" s="59">
        <v>6358.805</v>
      </c>
      <c r="G84" s="60" t="s">
        <v>599</v>
      </c>
      <c r="H84" s="61" t="s">
        <v>600</v>
      </c>
      <c r="I84" s="61" t="s">
        <v>367</v>
      </c>
      <c r="J84" s="61" t="s">
        <v>367</v>
      </c>
      <c r="K84" s="61" t="s">
        <v>600</v>
      </c>
    </row>
    <row r="85">
      <c r="A85" s="58" t="s">
        <v>83</v>
      </c>
      <c r="B85" s="59">
        <v>378.615</v>
      </c>
      <c r="C85" s="59">
        <v>1365.496</v>
      </c>
      <c r="D85" s="59">
        <v>1565.545</v>
      </c>
      <c r="E85" s="59">
        <v>3309.656</v>
      </c>
      <c r="G85" s="63" t="s">
        <v>222</v>
      </c>
      <c r="H85" s="64" t="s">
        <v>601</v>
      </c>
      <c r="I85" s="64" t="s">
        <v>602</v>
      </c>
      <c r="J85" s="64" t="s">
        <v>367</v>
      </c>
      <c r="K85" s="64" t="s">
        <v>603</v>
      </c>
    </row>
    <row r="86">
      <c r="A86" s="58" t="s">
        <v>604</v>
      </c>
      <c r="B86" s="62"/>
      <c r="C86" s="59">
        <v>53.265</v>
      </c>
      <c r="D86" s="59">
        <v>0.0</v>
      </c>
      <c r="E86" s="59">
        <v>53.265</v>
      </c>
      <c r="G86" s="60" t="s">
        <v>206</v>
      </c>
      <c r="H86" s="61" t="s">
        <v>367</v>
      </c>
      <c r="I86" s="61" t="s">
        <v>367</v>
      </c>
      <c r="J86" s="61" t="s">
        <v>566</v>
      </c>
      <c r="K86" s="61" t="s">
        <v>566</v>
      </c>
    </row>
    <row r="87">
      <c r="A87" s="58" t="s">
        <v>93</v>
      </c>
      <c r="B87" s="59">
        <v>1086.662</v>
      </c>
      <c r="C87" s="59">
        <v>1351.029</v>
      </c>
      <c r="D87" s="59">
        <v>988.686</v>
      </c>
      <c r="E87" s="59">
        <v>3426.377</v>
      </c>
      <c r="G87" s="63" t="s">
        <v>605</v>
      </c>
      <c r="H87" s="64" t="s">
        <v>367</v>
      </c>
      <c r="I87" s="64" t="s">
        <v>367</v>
      </c>
      <c r="J87" s="64" t="s">
        <v>606</v>
      </c>
      <c r="K87" s="64" t="s">
        <v>606</v>
      </c>
    </row>
    <row r="88">
      <c r="A88" s="58" t="s">
        <v>85</v>
      </c>
      <c r="B88" s="59">
        <v>175.631</v>
      </c>
      <c r="C88" s="59">
        <v>1295.803</v>
      </c>
      <c r="D88" s="59">
        <v>745.429</v>
      </c>
      <c r="E88" s="59">
        <v>2216.863</v>
      </c>
      <c r="G88" s="60" t="s">
        <v>270</v>
      </c>
      <c r="H88" s="61" t="s">
        <v>573</v>
      </c>
      <c r="I88" s="61" t="s">
        <v>367</v>
      </c>
      <c r="J88" s="61" t="s">
        <v>367</v>
      </c>
      <c r="K88" s="61" t="s">
        <v>573</v>
      </c>
    </row>
    <row r="89">
      <c r="G89" s="63" t="s">
        <v>260</v>
      </c>
      <c r="H89" s="64" t="s">
        <v>573</v>
      </c>
      <c r="I89" s="64" t="s">
        <v>367</v>
      </c>
      <c r="J89" s="64" t="s">
        <v>367</v>
      </c>
      <c r="K89" s="64" t="s">
        <v>573</v>
      </c>
    </row>
    <row r="90">
      <c r="G90" s="60" t="s">
        <v>23</v>
      </c>
      <c r="H90" s="61" t="s">
        <v>573</v>
      </c>
      <c r="I90" s="61" t="s">
        <v>367</v>
      </c>
      <c r="J90" s="61" t="s">
        <v>367</v>
      </c>
      <c r="K90" s="61" t="s">
        <v>573</v>
      </c>
    </row>
    <row r="91">
      <c r="G91" s="63" t="s">
        <v>607</v>
      </c>
      <c r="H91" s="64" t="s">
        <v>608</v>
      </c>
      <c r="I91" s="64" t="s">
        <v>367</v>
      </c>
      <c r="J91" s="64" t="s">
        <v>367</v>
      </c>
      <c r="K91" s="64" t="s">
        <v>608</v>
      </c>
    </row>
    <row r="92">
      <c r="G92" s="60" t="s">
        <v>609</v>
      </c>
      <c r="H92" s="61" t="s">
        <v>608</v>
      </c>
      <c r="I92" s="61" t="s">
        <v>367</v>
      </c>
      <c r="J92" s="61" t="s">
        <v>367</v>
      </c>
      <c r="K92" s="61" t="s">
        <v>608</v>
      </c>
    </row>
    <row r="93">
      <c r="G93" s="63" t="s">
        <v>610</v>
      </c>
      <c r="H93" s="64" t="s">
        <v>367</v>
      </c>
      <c r="I93" s="64" t="s">
        <v>367</v>
      </c>
      <c r="J93" s="64" t="s">
        <v>611</v>
      </c>
      <c r="K93" s="64" t="s">
        <v>611</v>
      </c>
    </row>
    <row r="94">
      <c r="G94" s="60" t="s">
        <v>173</v>
      </c>
      <c r="H94" s="61" t="s">
        <v>367</v>
      </c>
      <c r="I94" s="61" t="s">
        <v>367</v>
      </c>
      <c r="J94" s="61" t="s">
        <v>612</v>
      </c>
      <c r="K94" s="61" t="s">
        <v>612</v>
      </c>
    </row>
    <row r="95">
      <c r="G95" s="63" t="s">
        <v>613</v>
      </c>
      <c r="H95" s="64" t="s">
        <v>367</v>
      </c>
      <c r="I95" s="64" t="s">
        <v>367</v>
      </c>
      <c r="J95" s="64" t="s">
        <v>614</v>
      </c>
      <c r="K95" s="64" t="s">
        <v>614</v>
      </c>
    </row>
    <row r="96">
      <c r="G96" s="60" t="s">
        <v>615</v>
      </c>
      <c r="H96" s="61" t="s">
        <v>367</v>
      </c>
      <c r="I96" s="61" t="s">
        <v>367</v>
      </c>
      <c r="J96" s="61" t="s">
        <v>616</v>
      </c>
      <c r="K96" s="61" t="s">
        <v>616</v>
      </c>
    </row>
    <row r="97">
      <c r="G97" s="63" t="s">
        <v>262</v>
      </c>
      <c r="H97" s="64" t="s">
        <v>617</v>
      </c>
      <c r="I97" s="64" t="s">
        <v>367</v>
      </c>
      <c r="J97" s="64" t="s">
        <v>367</v>
      </c>
      <c r="K97" s="64" t="s">
        <v>617</v>
      </c>
    </row>
    <row r="98">
      <c r="G98" s="60" t="s">
        <v>140</v>
      </c>
      <c r="H98" s="61" t="s">
        <v>367</v>
      </c>
      <c r="I98" s="61" t="s">
        <v>618</v>
      </c>
      <c r="J98" s="61" t="s">
        <v>367</v>
      </c>
      <c r="K98" s="61" t="s">
        <v>618</v>
      </c>
    </row>
    <row r="99">
      <c r="G99" s="63" t="s">
        <v>619</v>
      </c>
      <c r="H99" s="64" t="s">
        <v>367</v>
      </c>
      <c r="I99" s="64" t="s">
        <v>367</v>
      </c>
      <c r="J99" s="64" t="s">
        <v>620</v>
      </c>
      <c r="K99" s="64" t="s">
        <v>620</v>
      </c>
    </row>
    <row r="100">
      <c r="G100" s="60" t="s">
        <v>212</v>
      </c>
      <c r="H100" s="61" t="s">
        <v>367</v>
      </c>
      <c r="I100" s="61" t="s">
        <v>367</v>
      </c>
      <c r="J100" s="61" t="s">
        <v>621</v>
      </c>
      <c r="K100" s="61" t="s">
        <v>621</v>
      </c>
    </row>
    <row r="101">
      <c r="G101" s="63" t="s">
        <v>490</v>
      </c>
      <c r="H101" s="64" t="s">
        <v>622</v>
      </c>
      <c r="I101" s="64" t="s">
        <v>367</v>
      </c>
      <c r="J101" s="64" t="s">
        <v>367</v>
      </c>
      <c r="K101" s="64" t="s">
        <v>622</v>
      </c>
    </row>
    <row r="102">
      <c r="G102" s="60" t="s">
        <v>623</v>
      </c>
      <c r="H102" s="61" t="s">
        <v>367</v>
      </c>
      <c r="I102" s="61" t="s">
        <v>624</v>
      </c>
      <c r="J102" s="61" t="s">
        <v>367</v>
      </c>
      <c r="K102" s="61" t="s">
        <v>624</v>
      </c>
    </row>
    <row r="103">
      <c r="G103" s="63" t="s">
        <v>207</v>
      </c>
      <c r="H103" s="64" t="s">
        <v>367</v>
      </c>
      <c r="I103" s="64" t="s">
        <v>625</v>
      </c>
      <c r="J103" s="64" t="s">
        <v>367</v>
      </c>
      <c r="K103" s="64" t="s">
        <v>625</v>
      </c>
    </row>
    <row r="104">
      <c r="G104" s="60" t="s">
        <v>232</v>
      </c>
      <c r="H104" s="61" t="s">
        <v>626</v>
      </c>
      <c r="I104" s="61" t="s">
        <v>367</v>
      </c>
      <c r="J104" s="61" t="s">
        <v>367</v>
      </c>
      <c r="K104" s="61" t="s">
        <v>626</v>
      </c>
    </row>
    <row r="105">
      <c r="G105" s="63" t="s">
        <v>627</v>
      </c>
      <c r="H105" s="64" t="s">
        <v>367</v>
      </c>
      <c r="I105" s="64" t="s">
        <v>367</v>
      </c>
      <c r="J105" s="64" t="s">
        <v>628</v>
      </c>
      <c r="K105" s="64" t="s">
        <v>628</v>
      </c>
    </row>
    <row r="106">
      <c r="G106" s="60" t="s">
        <v>629</v>
      </c>
      <c r="H106" s="61" t="s">
        <v>367</v>
      </c>
      <c r="I106" s="61" t="s">
        <v>367</v>
      </c>
      <c r="J106" s="61" t="s">
        <v>628</v>
      </c>
      <c r="K106" s="61" t="s">
        <v>628</v>
      </c>
    </row>
    <row r="107">
      <c r="G107" s="63" t="s">
        <v>630</v>
      </c>
      <c r="H107" s="64" t="s">
        <v>631</v>
      </c>
      <c r="I107" s="64" t="s">
        <v>367</v>
      </c>
      <c r="J107" s="64" t="s">
        <v>367</v>
      </c>
      <c r="K107" s="64" t="s">
        <v>631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88"/>
    <col customWidth="1" min="3" max="3" width="15.63"/>
    <col customWidth="1" min="4" max="4" width="14.63"/>
  </cols>
  <sheetData>
    <row r="1">
      <c r="A1" s="58" t="s">
        <v>250</v>
      </c>
      <c r="B1" s="58" t="s">
        <v>255</v>
      </c>
      <c r="C1" s="58" t="s">
        <v>256</v>
      </c>
      <c r="D1" s="58" t="s">
        <v>632</v>
      </c>
      <c r="E1" s="58" t="s">
        <v>633</v>
      </c>
      <c r="F1" s="58" t="s">
        <v>252</v>
      </c>
      <c r="G1" s="65" t="s">
        <v>634</v>
      </c>
    </row>
    <row r="2">
      <c r="A2" s="12" t="s">
        <v>23</v>
      </c>
      <c r="B2" s="66">
        <v>7870.0</v>
      </c>
      <c r="C2" s="66">
        <v>781.0</v>
      </c>
      <c r="D2" s="66">
        <v>221.0</v>
      </c>
      <c r="E2" s="67">
        <v>192043.9998</v>
      </c>
      <c r="F2" s="66">
        <v>7147.0</v>
      </c>
      <c r="G2" s="68">
        <f t="shared" ref="G2:G100" si="1">IFERROR(F2/D2,"NA")</f>
        <v>32.33936652</v>
      </c>
    </row>
    <row r="3">
      <c r="A3" s="27" t="s">
        <v>26</v>
      </c>
      <c r="B3" s="66">
        <v>7039.0</v>
      </c>
      <c r="C3" s="66">
        <v>761.0</v>
      </c>
      <c r="D3" s="66">
        <v>214.0</v>
      </c>
      <c r="E3" s="67">
        <v>190336.0018</v>
      </c>
      <c r="F3" s="66">
        <v>6541.0</v>
      </c>
      <c r="G3" s="68">
        <f t="shared" si="1"/>
        <v>30.56542056</v>
      </c>
    </row>
    <row r="4">
      <c r="A4" s="27" t="s">
        <v>28</v>
      </c>
      <c r="B4" s="66">
        <v>2509.0</v>
      </c>
      <c r="C4" s="66">
        <v>408.0</v>
      </c>
      <c r="D4" s="66">
        <v>122.0</v>
      </c>
      <c r="E4" s="67">
        <v>157680.9988</v>
      </c>
      <c r="F4" s="66">
        <v>2341.0</v>
      </c>
      <c r="G4" s="68">
        <f t="shared" si="1"/>
        <v>19.18852459</v>
      </c>
    </row>
    <row r="5">
      <c r="A5" s="27" t="s">
        <v>31</v>
      </c>
      <c r="B5" s="66">
        <v>5707.0</v>
      </c>
      <c r="C5" s="66">
        <v>623.0</v>
      </c>
      <c r="D5" s="66">
        <v>160.0</v>
      </c>
      <c r="E5" s="67">
        <v>113539.9991</v>
      </c>
      <c r="F5" s="66">
        <v>5252.0</v>
      </c>
      <c r="G5" s="68">
        <f t="shared" si="1"/>
        <v>32.825</v>
      </c>
    </row>
    <row r="6">
      <c r="A6" s="27" t="s">
        <v>33</v>
      </c>
      <c r="B6" s="66">
        <v>2356.0</v>
      </c>
      <c r="C6" s="66">
        <v>636.0</v>
      </c>
      <c r="D6" s="66">
        <v>171.0</v>
      </c>
      <c r="E6" s="67">
        <v>101319.0012</v>
      </c>
      <c r="F6" s="66">
        <v>2316.0</v>
      </c>
      <c r="G6" s="68">
        <f t="shared" si="1"/>
        <v>13.54385965</v>
      </c>
    </row>
    <row r="7">
      <c r="A7" s="27" t="s">
        <v>42</v>
      </c>
      <c r="B7" s="66">
        <v>1383.0</v>
      </c>
      <c r="C7" s="66">
        <v>279.0</v>
      </c>
      <c r="D7" s="66">
        <v>90.0</v>
      </c>
      <c r="E7" s="67">
        <v>90842.00009</v>
      </c>
      <c r="F7" s="66">
        <v>1333.0</v>
      </c>
      <c r="G7" s="68">
        <f t="shared" si="1"/>
        <v>14.81111111</v>
      </c>
    </row>
    <row r="8">
      <c r="A8" s="27" t="s">
        <v>40</v>
      </c>
      <c r="B8" s="66">
        <v>1235.0</v>
      </c>
      <c r="C8" s="66">
        <v>158.0</v>
      </c>
      <c r="D8" s="66">
        <v>47.0</v>
      </c>
      <c r="E8" s="67">
        <v>81477.0002</v>
      </c>
      <c r="F8" s="66">
        <v>1113.0</v>
      </c>
      <c r="G8" s="68">
        <f t="shared" si="1"/>
        <v>23.68085106</v>
      </c>
    </row>
    <row r="9">
      <c r="A9" s="27" t="s">
        <v>52</v>
      </c>
      <c r="B9" s="66">
        <v>1018.0</v>
      </c>
      <c r="C9" s="66">
        <v>156.0</v>
      </c>
      <c r="D9" s="66">
        <v>41.0</v>
      </c>
      <c r="E9" s="67">
        <v>80419.00022</v>
      </c>
      <c r="F9" s="66">
        <v>935.0</v>
      </c>
      <c r="G9" s="68">
        <f t="shared" si="1"/>
        <v>22.80487805</v>
      </c>
    </row>
    <row r="10">
      <c r="A10" s="27" t="s">
        <v>35</v>
      </c>
      <c r="B10" s="66">
        <v>1094.0</v>
      </c>
      <c r="C10" s="66">
        <v>221.0</v>
      </c>
      <c r="D10" s="66">
        <v>75.0</v>
      </c>
      <c r="E10" s="67">
        <v>79281.00042</v>
      </c>
      <c r="F10" s="66">
        <v>1055.0</v>
      </c>
      <c r="G10" s="68">
        <f t="shared" si="1"/>
        <v>14.06666667</v>
      </c>
    </row>
    <row r="11">
      <c r="A11" s="27" t="s">
        <v>37</v>
      </c>
      <c r="B11" s="66">
        <v>3746.0</v>
      </c>
      <c r="C11" s="66">
        <v>458.0</v>
      </c>
      <c r="D11" s="66">
        <v>129.0</v>
      </c>
      <c r="E11" s="67">
        <v>70820.99938</v>
      </c>
      <c r="F11" s="66">
        <v>3472.0</v>
      </c>
      <c r="G11" s="68">
        <f t="shared" si="1"/>
        <v>26.91472868</v>
      </c>
    </row>
    <row r="12">
      <c r="A12" s="27" t="s">
        <v>44</v>
      </c>
      <c r="B12" s="66">
        <v>1426.0</v>
      </c>
      <c r="C12" s="66">
        <v>350.0</v>
      </c>
      <c r="D12" s="66">
        <v>101.0</v>
      </c>
      <c r="E12" s="67">
        <v>63588.9999</v>
      </c>
      <c r="F12" s="66">
        <v>1422.0</v>
      </c>
      <c r="G12" s="68">
        <f t="shared" si="1"/>
        <v>14.07920792</v>
      </c>
    </row>
    <row r="13">
      <c r="A13" s="27" t="s">
        <v>62</v>
      </c>
      <c r="B13" s="66">
        <v>2650.0</v>
      </c>
      <c r="C13" s="66">
        <v>330.0</v>
      </c>
      <c r="D13" s="66">
        <v>98.0</v>
      </c>
      <c r="E13" s="67">
        <v>58561.99923</v>
      </c>
      <c r="F13" s="66">
        <v>2473.0</v>
      </c>
      <c r="G13" s="68">
        <f t="shared" si="1"/>
        <v>25.23469388</v>
      </c>
    </row>
    <row r="14">
      <c r="A14" s="27" t="s">
        <v>65</v>
      </c>
      <c r="B14" s="66">
        <v>853.0</v>
      </c>
      <c r="C14" s="66">
        <v>200.0</v>
      </c>
      <c r="D14" s="66">
        <v>60.0</v>
      </c>
      <c r="E14" s="67">
        <v>53294.9999</v>
      </c>
      <c r="F14" s="66">
        <v>814.0</v>
      </c>
      <c r="G14" s="68">
        <f t="shared" si="1"/>
        <v>13.56666667</v>
      </c>
    </row>
    <row r="15">
      <c r="A15" s="27" t="s">
        <v>46</v>
      </c>
      <c r="B15" s="66">
        <v>596.0</v>
      </c>
      <c r="C15" s="66">
        <v>235.0</v>
      </c>
      <c r="D15" s="66">
        <v>72.0</v>
      </c>
      <c r="E15" s="67">
        <v>50327.99957</v>
      </c>
      <c r="F15" s="66">
        <v>718.0</v>
      </c>
      <c r="G15" s="68">
        <f t="shared" si="1"/>
        <v>9.972222222</v>
      </c>
    </row>
    <row r="16">
      <c r="A16" s="27" t="s">
        <v>48</v>
      </c>
      <c r="B16" s="66">
        <v>1002.0</v>
      </c>
      <c r="C16" s="66">
        <v>110.0</v>
      </c>
      <c r="D16" s="66">
        <v>34.0</v>
      </c>
      <c r="E16" s="67">
        <v>45782.0002</v>
      </c>
      <c r="F16" s="66">
        <v>967.0</v>
      </c>
      <c r="G16" s="68">
        <f t="shared" si="1"/>
        <v>28.44117647</v>
      </c>
    </row>
    <row r="17">
      <c r="A17" s="27" t="s">
        <v>60</v>
      </c>
      <c r="B17" s="66">
        <v>381.0</v>
      </c>
      <c r="C17" s="66">
        <v>131.0</v>
      </c>
      <c r="D17" s="66">
        <v>50.0</v>
      </c>
      <c r="E17" s="67">
        <v>38751.50016</v>
      </c>
      <c r="F17" s="66">
        <v>475.0</v>
      </c>
      <c r="G17" s="68">
        <f t="shared" si="1"/>
        <v>9.5</v>
      </c>
    </row>
    <row r="18">
      <c r="A18" s="27" t="s">
        <v>54</v>
      </c>
      <c r="B18" s="66">
        <v>750.0</v>
      </c>
      <c r="C18" s="66">
        <v>73.0</v>
      </c>
      <c r="D18" s="66">
        <v>25.0</v>
      </c>
      <c r="E18" s="67">
        <v>38622.00016</v>
      </c>
      <c r="F18" s="66">
        <v>729.0</v>
      </c>
      <c r="G18" s="68">
        <f t="shared" si="1"/>
        <v>29.16</v>
      </c>
    </row>
    <row r="19">
      <c r="A19" s="27" t="s">
        <v>81</v>
      </c>
      <c r="B19" s="66">
        <v>415.0</v>
      </c>
      <c r="C19" s="66">
        <v>91.0</v>
      </c>
      <c r="D19" s="66">
        <v>37.0</v>
      </c>
      <c r="E19" s="67">
        <v>36963.00013</v>
      </c>
      <c r="F19" s="66">
        <v>399.0</v>
      </c>
      <c r="G19" s="68">
        <f t="shared" si="1"/>
        <v>10.78378378</v>
      </c>
    </row>
    <row r="20">
      <c r="A20" s="27" t="s">
        <v>73</v>
      </c>
      <c r="B20" s="66">
        <v>1004.0</v>
      </c>
      <c r="C20" s="66">
        <v>180.0</v>
      </c>
      <c r="D20" s="66">
        <v>61.0</v>
      </c>
      <c r="E20" s="67">
        <v>35911.00069</v>
      </c>
      <c r="F20" s="66">
        <v>965.0</v>
      </c>
      <c r="G20" s="68">
        <f t="shared" si="1"/>
        <v>15.81967213</v>
      </c>
    </row>
    <row r="21">
      <c r="A21" s="27" t="s">
        <v>106</v>
      </c>
      <c r="B21" s="66">
        <v>654.0</v>
      </c>
      <c r="C21" s="66">
        <v>123.0</v>
      </c>
      <c r="D21" s="66">
        <v>37.0</v>
      </c>
      <c r="E21" s="67">
        <v>32903.00009</v>
      </c>
      <c r="F21" s="66">
        <v>592.0</v>
      </c>
      <c r="G21" s="68">
        <f t="shared" si="1"/>
        <v>16</v>
      </c>
    </row>
    <row r="22">
      <c r="A22" s="27" t="s">
        <v>75</v>
      </c>
      <c r="B22" s="66">
        <v>476.0</v>
      </c>
      <c r="C22" s="66">
        <v>74.0</v>
      </c>
      <c r="D22" s="66">
        <v>21.0</v>
      </c>
      <c r="E22" s="67">
        <v>31365.99995</v>
      </c>
      <c r="F22" s="66">
        <v>419.0</v>
      </c>
      <c r="G22" s="68">
        <f t="shared" si="1"/>
        <v>19.95238095</v>
      </c>
    </row>
    <row r="23">
      <c r="A23" s="27" t="s">
        <v>83</v>
      </c>
      <c r="B23" s="66">
        <v>532.0</v>
      </c>
      <c r="C23" s="66">
        <v>48.0</v>
      </c>
      <c r="D23" s="66">
        <v>20.0</v>
      </c>
      <c r="E23" s="67">
        <v>30792.00011</v>
      </c>
      <c r="F23" s="66">
        <v>485.0</v>
      </c>
      <c r="G23" s="68">
        <f t="shared" si="1"/>
        <v>24.25</v>
      </c>
    </row>
    <row r="24">
      <c r="A24" s="27" t="s">
        <v>50</v>
      </c>
      <c r="B24" s="66">
        <v>881.0</v>
      </c>
      <c r="C24" s="66">
        <v>129.0</v>
      </c>
      <c r="D24" s="66">
        <v>29.0</v>
      </c>
      <c r="E24" s="67">
        <v>26410.99985</v>
      </c>
      <c r="F24" s="66">
        <v>808.0</v>
      </c>
      <c r="G24" s="68">
        <f t="shared" si="1"/>
        <v>27.86206897</v>
      </c>
    </row>
    <row r="25">
      <c r="A25" s="27" t="s">
        <v>58</v>
      </c>
      <c r="B25" s="66">
        <v>599.0</v>
      </c>
      <c r="C25" s="66">
        <v>115.0</v>
      </c>
      <c r="D25" s="66">
        <v>67.0</v>
      </c>
      <c r="E25" s="67">
        <v>24159.8503</v>
      </c>
      <c r="F25" s="66">
        <v>659.0</v>
      </c>
      <c r="G25" s="68">
        <f t="shared" si="1"/>
        <v>9.835820896</v>
      </c>
    </row>
    <row r="26">
      <c r="A26" s="27" t="s">
        <v>77</v>
      </c>
      <c r="B26" s="66">
        <v>671.0</v>
      </c>
      <c r="C26" s="66">
        <v>173.0</v>
      </c>
      <c r="D26" s="66">
        <v>52.0</v>
      </c>
      <c r="E26" s="67">
        <v>23017.99993</v>
      </c>
      <c r="F26" s="66">
        <v>684.0</v>
      </c>
      <c r="G26" s="68">
        <f t="shared" si="1"/>
        <v>13.15384615</v>
      </c>
    </row>
    <row r="27">
      <c r="A27" s="27" t="s">
        <v>69</v>
      </c>
      <c r="B27" s="66">
        <v>1154.0</v>
      </c>
      <c r="C27" s="66">
        <v>63.0</v>
      </c>
      <c r="D27" s="66">
        <v>48.0</v>
      </c>
      <c r="E27" s="67">
        <v>20025.39941</v>
      </c>
      <c r="F27" s="66">
        <v>1154.0</v>
      </c>
      <c r="G27" s="68">
        <f t="shared" si="1"/>
        <v>24.04166667</v>
      </c>
    </row>
    <row r="28">
      <c r="A28" s="27" t="s">
        <v>79</v>
      </c>
      <c r="B28" s="66">
        <v>1102.0</v>
      </c>
      <c r="C28" s="66">
        <v>93.0</v>
      </c>
      <c r="D28" s="66">
        <v>28.0</v>
      </c>
      <c r="E28" s="67">
        <v>19371.99978</v>
      </c>
      <c r="F28" s="66">
        <v>1065.0</v>
      </c>
      <c r="G28" s="68">
        <f t="shared" si="1"/>
        <v>38.03571429</v>
      </c>
    </row>
    <row r="29">
      <c r="A29" s="27" t="s">
        <v>67</v>
      </c>
      <c r="B29" s="66">
        <v>366.0</v>
      </c>
      <c r="C29" s="66">
        <v>33.0</v>
      </c>
      <c r="D29" s="66">
        <v>11.0</v>
      </c>
      <c r="E29" s="67">
        <v>19003.9998</v>
      </c>
      <c r="F29" s="66">
        <v>345.0</v>
      </c>
      <c r="G29" s="68">
        <f t="shared" si="1"/>
        <v>31.36363636</v>
      </c>
    </row>
    <row r="30">
      <c r="A30" s="27" t="s">
        <v>134</v>
      </c>
      <c r="B30" s="66">
        <v>180.0</v>
      </c>
      <c r="C30" s="66">
        <v>40.0</v>
      </c>
      <c r="D30" s="66">
        <v>14.0</v>
      </c>
      <c r="E30" s="67">
        <v>18726.00014</v>
      </c>
      <c r="F30" s="66">
        <v>179.0</v>
      </c>
      <c r="G30" s="68">
        <f t="shared" si="1"/>
        <v>12.78571429</v>
      </c>
    </row>
    <row r="31">
      <c r="A31" s="27" t="s">
        <v>87</v>
      </c>
      <c r="B31" s="66">
        <v>1123.0</v>
      </c>
      <c r="C31" s="66">
        <v>130.0</v>
      </c>
      <c r="D31" s="66">
        <v>34.0</v>
      </c>
      <c r="E31" s="67">
        <v>18643.00007</v>
      </c>
      <c r="F31" s="66">
        <v>1015.0</v>
      </c>
      <c r="G31" s="68">
        <f t="shared" si="1"/>
        <v>29.85294118</v>
      </c>
    </row>
    <row r="32">
      <c r="A32" s="27" t="s">
        <v>437</v>
      </c>
      <c r="B32" s="66">
        <v>276.0</v>
      </c>
      <c r="C32" s="66">
        <v>34.0</v>
      </c>
      <c r="D32" s="66">
        <v>10.0</v>
      </c>
      <c r="E32" s="67">
        <v>17404.00004</v>
      </c>
      <c r="F32" s="66">
        <v>266.0</v>
      </c>
      <c r="G32" s="68">
        <f t="shared" si="1"/>
        <v>26.6</v>
      </c>
    </row>
    <row r="33">
      <c r="A33" s="27" t="s">
        <v>91</v>
      </c>
      <c r="B33" s="66">
        <v>519.0</v>
      </c>
      <c r="C33" s="66">
        <v>61.0</v>
      </c>
      <c r="D33" s="66">
        <v>11.0</v>
      </c>
      <c r="E33" s="67">
        <v>17315.0001</v>
      </c>
      <c r="F33" s="66">
        <v>485.0</v>
      </c>
      <c r="G33" s="68">
        <f t="shared" si="1"/>
        <v>44.09090909</v>
      </c>
    </row>
    <row r="34">
      <c r="A34" s="27" t="s">
        <v>56</v>
      </c>
      <c r="B34" s="66">
        <v>590.0</v>
      </c>
      <c r="C34" s="66">
        <v>56.0</v>
      </c>
      <c r="D34" s="66">
        <v>12.0</v>
      </c>
      <c r="E34" s="67">
        <v>15344.99998</v>
      </c>
      <c r="F34" s="66">
        <v>549.0</v>
      </c>
      <c r="G34" s="68">
        <f t="shared" si="1"/>
        <v>45.75</v>
      </c>
    </row>
    <row r="35">
      <c r="A35" s="27" t="s">
        <v>95</v>
      </c>
      <c r="B35" s="66">
        <v>636.0</v>
      </c>
      <c r="C35" s="66">
        <v>106.0</v>
      </c>
      <c r="D35" s="66">
        <v>31.0</v>
      </c>
      <c r="E35" s="67">
        <v>14469.00011</v>
      </c>
      <c r="F35" s="66">
        <v>652.0</v>
      </c>
      <c r="G35" s="68">
        <f t="shared" si="1"/>
        <v>21.03225806</v>
      </c>
    </row>
    <row r="36">
      <c r="A36" s="27" t="s">
        <v>160</v>
      </c>
      <c r="B36" s="66">
        <v>0.0</v>
      </c>
      <c r="C36" s="66">
        <v>0.0</v>
      </c>
      <c r="D36" s="66">
        <v>105.0</v>
      </c>
      <c r="E36" s="67">
        <v>14111.99951</v>
      </c>
      <c r="F36" s="66">
        <v>183.0</v>
      </c>
      <c r="G36" s="68">
        <f t="shared" si="1"/>
        <v>1.742857143</v>
      </c>
    </row>
    <row r="37">
      <c r="A37" s="27" t="s">
        <v>101</v>
      </c>
      <c r="B37" s="66">
        <v>325.0</v>
      </c>
      <c r="C37" s="66">
        <v>31.0</v>
      </c>
      <c r="D37" s="66">
        <v>10.0</v>
      </c>
      <c r="E37" s="67">
        <v>13926.0001</v>
      </c>
      <c r="F37" s="66">
        <v>295.0</v>
      </c>
      <c r="G37" s="68">
        <f t="shared" si="1"/>
        <v>29.5</v>
      </c>
    </row>
    <row r="38">
      <c r="A38" s="27" t="s">
        <v>85</v>
      </c>
      <c r="B38" s="66">
        <v>321.0</v>
      </c>
      <c r="C38" s="66">
        <v>38.0</v>
      </c>
      <c r="D38" s="66">
        <v>12.0</v>
      </c>
      <c r="E38" s="67">
        <v>13325.00002</v>
      </c>
      <c r="F38" s="66">
        <v>305.0</v>
      </c>
      <c r="G38" s="68">
        <f t="shared" si="1"/>
        <v>25.41666667</v>
      </c>
    </row>
    <row r="39">
      <c r="A39" s="27" t="s">
        <v>71</v>
      </c>
      <c r="B39" s="66">
        <v>191.0</v>
      </c>
      <c r="C39" s="66">
        <v>28.0</v>
      </c>
      <c r="D39" s="66">
        <v>7.0</v>
      </c>
      <c r="E39" s="67">
        <v>12784.99995</v>
      </c>
      <c r="F39" s="66">
        <v>174.0</v>
      </c>
      <c r="G39" s="68">
        <f t="shared" si="1"/>
        <v>24.85714286</v>
      </c>
    </row>
    <row r="40">
      <c r="A40" s="27" t="s">
        <v>97</v>
      </c>
      <c r="B40" s="66">
        <v>1196.0</v>
      </c>
      <c r="C40" s="66">
        <v>74.0</v>
      </c>
      <c r="D40" s="66">
        <v>22.0</v>
      </c>
      <c r="E40" s="67">
        <v>12171.99976</v>
      </c>
      <c r="F40" s="66">
        <v>1113.0</v>
      </c>
      <c r="G40" s="68">
        <f t="shared" si="1"/>
        <v>50.59090909</v>
      </c>
    </row>
    <row r="41">
      <c r="A41" s="27" t="s">
        <v>122</v>
      </c>
      <c r="B41" s="66">
        <v>897.0</v>
      </c>
      <c r="C41" s="66">
        <v>38.0</v>
      </c>
      <c r="D41" s="66">
        <v>16.0</v>
      </c>
      <c r="E41" s="67">
        <v>10552.00022</v>
      </c>
      <c r="F41" s="66">
        <v>843.0</v>
      </c>
      <c r="G41" s="68">
        <f t="shared" si="1"/>
        <v>52.6875</v>
      </c>
    </row>
    <row r="42">
      <c r="A42" s="27" t="s">
        <v>108</v>
      </c>
      <c r="B42" s="66">
        <v>641.0</v>
      </c>
      <c r="C42" s="66">
        <v>94.0</v>
      </c>
      <c r="D42" s="66">
        <v>21.0</v>
      </c>
      <c r="E42" s="67">
        <v>10479.00012</v>
      </c>
      <c r="F42" s="66">
        <v>593.0</v>
      </c>
      <c r="G42" s="68">
        <f t="shared" si="1"/>
        <v>28.23809524</v>
      </c>
    </row>
    <row r="43">
      <c r="A43" s="27" t="s">
        <v>142</v>
      </c>
      <c r="B43" s="66">
        <v>190.0</v>
      </c>
      <c r="C43" s="66">
        <v>66.0</v>
      </c>
      <c r="D43" s="66">
        <v>25.0</v>
      </c>
      <c r="E43" s="67">
        <v>8725.000082</v>
      </c>
      <c r="F43" s="66">
        <v>215.0</v>
      </c>
      <c r="G43" s="68">
        <f t="shared" si="1"/>
        <v>8.6</v>
      </c>
    </row>
    <row r="44">
      <c r="A44" s="27" t="s">
        <v>124</v>
      </c>
      <c r="B44" s="66">
        <v>309.0</v>
      </c>
      <c r="C44" s="66">
        <v>69.0</v>
      </c>
      <c r="D44" s="66">
        <v>18.0</v>
      </c>
      <c r="E44" s="67">
        <v>8620.000152</v>
      </c>
      <c r="F44" s="66">
        <v>313.0</v>
      </c>
      <c r="G44" s="68">
        <f t="shared" si="1"/>
        <v>17.38888889</v>
      </c>
    </row>
    <row r="45">
      <c r="A45" s="27" t="s">
        <v>148</v>
      </c>
      <c r="B45" s="66">
        <v>322.0</v>
      </c>
      <c r="C45" s="66">
        <v>37.0</v>
      </c>
      <c r="D45" s="66">
        <v>8.0</v>
      </c>
      <c r="E45" s="67">
        <v>8358.999938</v>
      </c>
      <c r="F45" s="66">
        <v>302.0</v>
      </c>
      <c r="G45" s="68">
        <f t="shared" si="1"/>
        <v>37.75</v>
      </c>
    </row>
    <row r="46">
      <c r="A46" s="27" t="s">
        <v>99</v>
      </c>
      <c r="B46" s="66">
        <v>184.0</v>
      </c>
      <c r="C46" s="66">
        <v>39.0</v>
      </c>
      <c r="D46" s="66">
        <v>7.0</v>
      </c>
      <c r="E46" s="67">
        <v>8038.00003</v>
      </c>
      <c r="F46" s="66">
        <v>170.0</v>
      </c>
      <c r="G46" s="68">
        <f t="shared" si="1"/>
        <v>24.28571429</v>
      </c>
    </row>
    <row r="47">
      <c r="A47" s="27" t="s">
        <v>114</v>
      </c>
      <c r="B47" s="66">
        <v>272.0</v>
      </c>
      <c r="C47" s="66">
        <v>78.0</v>
      </c>
      <c r="D47" s="66">
        <v>16.0</v>
      </c>
      <c r="E47" s="67">
        <v>7984.000021</v>
      </c>
      <c r="F47" s="66">
        <v>302.0</v>
      </c>
      <c r="G47" s="68">
        <f t="shared" si="1"/>
        <v>18.875</v>
      </c>
    </row>
    <row r="48">
      <c r="A48" s="27" t="s">
        <v>89</v>
      </c>
      <c r="B48" s="66">
        <v>253.0</v>
      </c>
      <c r="C48" s="66">
        <v>17.0</v>
      </c>
      <c r="D48" s="66">
        <v>6.0</v>
      </c>
      <c r="E48" s="67">
        <v>7475.999977</v>
      </c>
      <c r="F48" s="66">
        <v>233.0</v>
      </c>
      <c r="G48" s="68">
        <f t="shared" si="1"/>
        <v>38.83333333</v>
      </c>
    </row>
    <row r="49">
      <c r="A49" s="27" t="s">
        <v>110</v>
      </c>
      <c r="B49" s="66">
        <v>228.0</v>
      </c>
      <c r="C49" s="66">
        <v>30.0</v>
      </c>
      <c r="D49" s="66">
        <v>9.0</v>
      </c>
      <c r="E49" s="67">
        <v>7340.999982</v>
      </c>
      <c r="F49" s="66">
        <v>200.0</v>
      </c>
      <c r="G49" s="68">
        <f t="shared" si="1"/>
        <v>22.22222222</v>
      </c>
    </row>
    <row r="50">
      <c r="A50" s="27" t="s">
        <v>93</v>
      </c>
      <c r="B50" s="66">
        <v>159.0</v>
      </c>
      <c r="C50" s="66">
        <v>20.0</v>
      </c>
      <c r="D50" s="66">
        <v>7.0</v>
      </c>
      <c r="E50" s="67">
        <v>7279.000097</v>
      </c>
      <c r="F50" s="66">
        <v>151.0</v>
      </c>
      <c r="G50" s="68">
        <f t="shared" si="1"/>
        <v>21.57142857</v>
      </c>
    </row>
    <row r="51">
      <c r="A51" s="27" t="s">
        <v>128</v>
      </c>
      <c r="B51" s="66">
        <v>349.0</v>
      </c>
      <c r="C51" s="66">
        <v>22.0</v>
      </c>
      <c r="D51" s="66">
        <v>9.0</v>
      </c>
      <c r="E51" s="67">
        <v>6462.000108</v>
      </c>
      <c r="F51" s="66">
        <v>341.0</v>
      </c>
      <c r="G51" s="68">
        <f t="shared" si="1"/>
        <v>37.88888889</v>
      </c>
    </row>
    <row r="52">
      <c r="A52" s="27" t="s">
        <v>120</v>
      </c>
      <c r="B52" s="66">
        <v>368.0</v>
      </c>
      <c r="C52" s="66">
        <v>12.0</v>
      </c>
      <c r="D52" s="66">
        <v>7.0</v>
      </c>
      <c r="E52" s="67">
        <v>6433.000059</v>
      </c>
      <c r="F52" s="66">
        <v>351.0</v>
      </c>
      <c r="G52" s="68">
        <f t="shared" si="1"/>
        <v>50.14285714</v>
      </c>
    </row>
    <row r="53">
      <c r="A53" s="27" t="s">
        <v>103</v>
      </c>
      <c r="B53" s="66">
        <v>161.0</v>
      </c>
      <c r="C53" s="66">
        <v>53.0</v>
      </c>
      <c r="D53" s="66">
        <v>35.0</v>
      </c>
      <c r="E53" s="67">
        <v>6080.000241</v>
      </c>
      <c r="F53" s="66">
        <v>199.0</v>
      </c>
      <c r="G53" s="68">
        <f t="shared" si="1"/>
        <v>5.685714286</v>
      </c>
    </row>
    <row r="54">
      <c r="A54" s="27" t="s">
        <v>118</v>
      </c>
      <c r="B54" s="66">
        <v>571.0</v>
      </c>
      <c r="C54" s="66">
        <v>67.0</v>
      </c>
      <c r="D54" s="66">
        <v>10.0</v>
      </c>
      <c r="E54" s="67">
        <v>5519.999897</v>
      </c>
      <c r="F54" s="66">
        <v>560.0</v>
      </c>
      <c r="G54" s="68">
        <f t="shared" si="1"/>
        <v>56</v>
      </c>
    </row>
    <row r="55">
      <c r="A55" s="27" t="s">
        <v>200</v>
      </c>
      <c r="B55" s="66">
        <v>92.0</v>
      </c>
      <c r="C55" s="66">
        <v>13.0</v>
      </c>
      <c r="D55" s="66">
        <v>5.0</v>
      </c>
      <c r="E55" s="67">
        <v>5379.999948</v>
      </c>
      <c r="F55" s="66">
        <v>88.0</v>
      </c>
      <c r="G55" s="68">
        <f t="shared" si="1"/>
        <v>17.6</v>
      </c>
    </row>
    <row r="56">
      <c r="A56" s="27" t="s">
        <v>150</v>
      </c>
      <c r="B56" s="66">
        <v>88.0</v>
      </c>
      <c r="C56" s="66">
        <v>16.0</v>
      </c>
      <c r="D56" s="66">
        <v>5.0</v>
      </c>
      <c r="E56" s="67">
        <v>5236.999978</v>
      </c>
      <c r="F56" s="66">
        <v>78.0</v>
      </c>
      <c r="G56" s="68">
        <f t="shared" si="1"/>
        <v>15.6</v>
      </c>
    </row>
    <row r="57">
      <c r="A57" s="27" t="s">
        <v>138</v>
      </c>
      <c r="B57" s="66">
        <v>123.0</v>
      </c>
      <c r="C57" s="66">
        <v>16.0</v>
      </c>
      <c r="D57" s="66">
        <v>4.0</v>
      </c>
      <c r="E57" s="67">
        <v>4778.000032</v>
      </c>
      <c r="F57" s="66">
        <v>103.0</v>
      </c>
      <c r="G57" s="68">
        <f t="shared" si="1"/>
        <v>25.75</v>
      </c>
    </row>
    <row r="58">
      <c r="A58" s="27" t="s">
        <v>132</v>
      </c>
      <c r="B58" s="66">
        <v>140.0</v>
      </c>
      <c r="C58" s="66">
        <v>11.0</v>
      </c>
      <c r="D58" s="66">
        <v>4.0</v>
      </c>
      <c r="E58" s="67">
        <v>4280.000017</v>
      </c>
      <c r="F58" s="66">
        <v>131.0</v>
      </c>
      <c r="G58" s="68">
        <f t="shared" si="1"/>
        <v>32.75</v>
      </c>
    </row>
    <row r="59">
      <c r="A59" s="27" t="s">
        <v>136</v>
      </c>
      <c r="B59" s="66">
        <v>131.0</v>
      </c>
      <c r="C59" s="66">
        <v>26.0</v>
      </c>
      <c r="D59" s="66">
        <v>4.0</v>
      </c>
      <c r="E59" s="67">
        <v>4202.000013</v>
      </c>
      <c r="F59" s="66">
        <v>122.0</v>
      </c>
      <c r="G59" s="68">
        <f t="shared" si="1"/>
        <v>30.5</v>
      </c>
    </row>
    <row r="60">
      <c r="A60" s="27" t="s">
        <v>140</v>
      </c>
      <c r="B60" s="66">
        <v>1518.0</v>
      </c>
      <c r="C60" s="66">
        <v>247.0</v>
      </c>
      <c r="D60" s="66">
        <v>40.0</v>
      </c>
      <c r="E60" s="67">
        <v>3960.000064</v>
      </c>
      <c r="F60" s="66">
        <v>1448.0</v>
      </c>
      <c r="G60" s="68">
        <f t="shared" si="1"/>
        <v>36.2</v>
      </c>
    </row>
    <row r="61">
      <c r="A61" s="27" t="s">
        <v>116</v>
      </c>
      <c r="B61" s="66">
        <v>123.0</v>
      </c>
      <c r="C61" s="66">
        <v>22.0</v>
      </c>
      <c r="D61" s="66">
        <v>4.0</v>
      </c>
      <c r="E61" s="67">
        <v>3823.000048</v>
      </c>
      <c r="F61" s="66">
        <v>110.0</v>
      </c>
      <c r="G61" s="68">
        <f t="shared" si="1"/>
        <v>27.5</v>
      </c>
    </row>
    <row r="62">
      <c r="A62" s="27" t="s">
        <v>186</v>
      </c>
      <c r="B62" s="66">
        <v>33.0</v>
      </c>
      <c r="C62" s="66">
        <v>7.0</v>
      </c>
      <c r="D62" s="66">
        <v>2.0</v>
      </c>
      <c r="E62" s="67">
        <v>3465.99997</v>
      </c>
      <c r="F62" s="66">
        <v>35.0</v>
      </c>
      <c r="G62" s="68">
        <f t="shared" si="1"/>
        <v>17.5</v>
      </c>
    </row>
    <row r="63">
      <c r="A63" s="27" t="s">
        <v>112</v>
      </c>
      <c r="B63" s="66">
        <v>88.0</v>
      </c>
      <c r="C63" s="66">
        <v>17.0</v>
      </c>
      <c r="D63" s="66">
        <v>2.0</v>
      </c>
      <c r="E63" s="67">
        <v>2604.999988</v>
      </c>
      <c r="F63" s="66">
        <v>88.0</v>
      </c>
      <c r="G63" s="68">
        <f t="shared" si="1"/>
        <v>44</v>
      </c>
    </row>
    <row r="64">
      <c r="A64" s="27" t="s">
        <v>162</v>
      </c>
      <c r="B64" s="66">
        <v>201.0</v>
      </c>
      <c r="C64" s="66">
        <v>10.0</v>
      </c>
      <c r="D64" s="66">
        <v>3.0</v>
      </c>
      <c r="E64" s="67">
        <v>2534.999936</v>
      </c>
      <c r="F64" s="66">
        <v>196.0</v>
      </c>
      <c r="G64" s="68">
        <f t="shared" si="1"/>
        <v>65.33333333</v>
      </c>
    </row>
    <row r="65">
      <c r="A65" s="27" t="s">
        <v>230</v>
      </c>
      <c r="B65" s="66">
        <v>62.0</v>
      </c>
      <c r="C65" s="66">
        <v>12.0</v>
      </c>
      <c r="D65" s="66">
        <v>3.0</v>
      </c>
      <c r="E65" s="67">
        <v>2246.999957</v>
      </c>
      <c r="F65" s="66">
        <v>66.0</v>
      </c>
      <c r="G65" s="68">
        <f t="shared" si="1"/>
        <v>22</v>
      </c>
    </row>
    <row r="66">
      <c r="A66" s="27" t="s">
        <v>126</v>
      </c>
      <c r="B66" s="66">
        <v>107.0</v>
      </c>
      <c r="C66" s="66">
        <v>9.0</v>
      </c>
      <c r="D66" s="66">
        <v>1.0</v>
      </c>
      <c r="E66" s="67">
        <v>2103.999994</v>
      </c>
      <c r="F66" s="66">
        <v>100.0</v>
      </c>
      <c r="G66" s="68">
        <f t="shared" si="1"/>
        <v>100</v>
      </c>
    </row>
    <row r="67">
      <c r="A67" s="27" t="s">
        <v>130</v>
      </c>
      <c r="B67" s="66">
        <v>198.0</v>
      </c>
      <c r="C67" s="66">
        <v>18.0</v>
      </c>
      <c r="D67" s="66">
        <v>2.0</v>
      </c>
      <c r="E67" s="67">
        <v>1993.999997</v>
      </c>
      <c r="F67" s="66">
        <v>178.0</v>
      </c>
      <c r="G67" s="68">
        <f t="shared" si="1"/>
        <v>89</v>
      </c>
    </row>
    <row r="68">
      <c r="A68" s="27" t="s">
        <v>105</v>
      </c>
      <c r="B68" s="66">
        <v>356.0</v>
      </c>
      <c r="C68" s="66">
        <v>13.0</v>
      </c>
      <c r="D68" s="66">
        <v>1.0</v>
      </c>
      <c r="E68" s="67">
        <v>1992.000047</v>
      </c>
      <c r="F68" s="66">
        <v>319.0</v>
      </c>
      <c r="G68" s="68">
        <f t="shared" si="1"/>
        <v>319</v>
      </c>
    </row>
    <row r="69">
      <c r="A69" s="27" t="s">
        <v>144</v>
      </c>
      <c r="B69" s="66">
        <v>79.0</v>
      </c>
      <c r="C69" s="66">
        <v>8.0</v>
      </c>
      <c r="D69" s="66">
        <v>1.0</v>
      </c>
      <c r="E69" s="67">
        <v>1810.000008</v>
      </c>
      <c r="F69" s="66">
        <v>68.0</v>
      </c>
      <c r="G69" s="68">
        <f t="shared" si="1"/>
        <v>68</v>
      </c>
    </row>
    <row r="70">
      <c r="A70" s="27" t="s">
        <v>156</v>
      </c>
      <c r="B70" s="66">
        <v>96.0</v>
      </c>
      <c r="C70" s="66">
        <v>7.0</v>
      </c>
      <c r="D70" s="66">
        <v>1.0</v>
      </c>
      <c r="E70" s="67">
        <v>1711.999963</v>
      </c>
      <c r="F70" s="66">
        <v>87.0</v>
      </c>
      <c r="G70" s="68">
        <f t="shared" si="1"/>
        <v>87</v>
      </c>
    </row>
    <row r="71">
      <c r="A71" s="27" t="s">
        <v>226</v>
      </c>
      <c r="B71" s="66">
        <v>66.0</v>
      </c>
      <c r="C71" s="66">
        <v>7.0</v>
      </c>
      <c r="D71" s="66">
        <v>1.0</v>
      </c>
      <c r="E71" s="67">
        <v>1469.999999</v>
      </c>
      <c r="F71" s="66">
        <v>66.0</v>
      </c>
      <c r="G71" s="68">
        <f t="shared" si="1"/>
        <v>66</v>
      </c>
    </row>
    <row r="72">
      <c r="A72" s="27" t="s">
        <v>167</v>
      </c>
      <c r="B72" s="66">
        <v>91.0</v>
      </c>
      <c r="C72" s="66">
        <v>9.0</v>
      </c>
      <c r="D72" s="66">
        <v>2.0</v>
      </c>
      <c r="E72" s="67">
        <v>1420.000067</v>
      </c>
      <c r="F72" s="66">
        <v>87.0</v>
      </c>
      <c r="G72" s="68">
        <f t="shared" si="1"/>
        <v>43.5</v>
      </c>
    </row>
    <row r="73">
      <c r="A73" s="27" t="s">
        <v>158</v>
      </c>
      <c r="B73" s="66">
        <v>108.0</v>
      </c>
      <c r="C73" s="66">
        <v>6.0</v>
      </c>
      <c r="D73" s="66">
        <v>1.0</v>
      </c>
      <c r="E73" s="67">
        <v>1418.000034</v>
      </c>
      <c r="F73" s="66">
        <v>98.0</v>
      </c>
      <c r="G73" s="68">
        <f t="shared" si="1"/>
        <v>98</v>
      </c>
    </row>
    <row r="74">
      <c r="A74" s="27" t="s">
        <v>212</v>
      </c>
      <c r="B74" s="66">
        <v>46.0</v>
      </c>
      <c r="C74" s="66">
        <v>3.0</v>
      </c>
      <c r="D74" s="66">
        <v>1.0</v>
      </c>
      <c r="E74" s="67">
        <v>977.999998</v>
      </c>
      <c r="F74" s="66">
        <v>44.0</v>
      </c>
      <c r="G74" s="68">
        <f t="shared" si="1"/>
        <v>44</v>
      </c>
    </row>
    <row r="75">
      <c r="A75" s="27" t="s">
        <v>171</v>
      </c>
      <c r="B75" s="66">
        <v>455.0</v>
      </c>
      <c r="C75" s="66">
        <v>12.0</v>
      </c>
      <c r="D75" s="66">
        <v>181.0</v>
      </c>
      <c r="E75" s="67">
        <v>843.999998</v>
      </c>
      <c r="F75" s="66">
        <v>696.0</v>
      </c>
      <c r="G75" s="68">
        <f t="shared" si="1"/>
        <v>3.845303867</v>
      </c>
    </row>
    <row r="76">
      <c r="A76" s="27" t="s">
        <v>165</v>
      </c>
      <c r="B76" s="66">
        <v>179.0</v>
      </c>
      <c r="C76" s="66">
        <v>51.0</v>
      </c>
      <c r="D76" s="66">
        <v>8.0</v>
      </c>
      <c r="E76" s="67">
        <v>792.000047</v>
      </c>
      <c r="F76" s="66">
        <v>196.0</v>
      </c>
      <c r="G76" s="68">
        <f t="shared" si="1"/>
        <v>24.5</v>
      </c>
    </row>
    <row r="77">
      <c r="A77" s="27" t="s">
        <v>173</v>
      </c>
      <c r="B77" s="66">
        <v>26.0</v>
      </c>
      <c r="C77" s="66">
        <v>5.0</v>
      </c>
      <c r="D77" s="66">
        <v>1.0</v>
      </c>
      <c r="E77" s="67">
        <v>298.99998</v>
      </c>
      <c r="F77" s="66">
        <v>26.0</v>
      </c>
      <c r="G77" s="68">
        <f t="shared" si="1"/>
        <v>26</v>
      </c>
    </row>
    <row r="78">
      <c r="A78" s="27" t="s">
        <v>232</v>
      </c>
      <c r="B78" s="66">
        <v>29.0</v>
      </c>
      <c r="C78" s="66">
        <v>3.0</v>
      </c>
      <c r="D78" s="66">
        <v>1.0</v>
      </c>
      <c r="E78" s="67">
        <v>198.999961</v>
      </c>
      <c r="F78" s="66">
        <v>27.0</v>
      </c>
      <c r="G78" s="68">
        <f t="shared" si="1"/>
        <v>27</v>
      </c>
    </row>
    <row r="79">
      <c r="A79" s="27" t="s">
        <v>635</v>
      </c>
      <c r="B79" s="66">
        <v>0.0</v>
      </c>
      <c r="C79" s="66">
        <v>3.0</v>
      </c>
      <c r="D79" s="66">
        <v>0.0</v>
      </c>
      <c r="E79" s="67">
        <v>0.0</v>
      </c>
      <c r="F79" s="66">
        <v>1.0</v>
      </c>
      <c r="G79" s="68" t="str">
        <f t="shared" si="1"/>
        <v>NA</v>
      </c>
    </row>
    <row r="80">
      <c r="A80" s="27" t="s">
        <v>174</v>
      </c>
      <c r="B80" s="66">
        <v>0.0</v>
      </c>
      <c r="C80" s="66">
        <v>0.0</v>
      </c>
      <c r="D80" s="66">
        <v>0.0</v>
      </c>
      <c r="E80" s="67">
        <v>0.0</v>
      </c>
      <c r="F80" s="66">
        <v>6.0</v>
      </c>
      <c r="G80" s="68" t="str">
        <f t="shared" si="1"/>
        <v>NA</v>
      </c>
    </row>
    <row r="81">
      <c r="A81" s="27" t="s">
        <v>178</v>
      </c>
      <c r="B81" s="66">
        <v>0.0</v>
      </c>
      <c r="C81" s="66">
        <v>0.0</v>
      </c>
      <c r="D81" s="66">
        <v>0.0</v>
      </c>
      <c r="E81" s="67">
        <v>0.0</v>
      </c>
      <c r="F81" s="66">
        <v>1.0</v>
      </c>
      <c r="G81" s="68" t="str">
        <f t="shared" si="1"/>
        <v>NA</v>
      </c>
    </row>
    <row r="82">
      <c r="A82" s="27" t="s">
        <v>187</v>
      </c>
      <c r="B82" s="66">
        <v>0.0</v>
      </c>
      <c r="C82" s="66">
        <v>1.0</v>
      </c>
      <c r="D82" s="66">
        <v>0.0</v>
      </c>
      <c r="E82" s="67">
        <v>0.0</v>
      </c>
      <c r="F82" s="66">
        <v>1.0</v>
      </c>
      <c r="G82" s="68" t="str">
        <f t="shared" si="1"/>
        <v>NA</v>
      </c>
    </row>
    <row r="83">
      <c r="A83" s="27" t="s">
        <v>164</v>
      </c>
      <c r="B83" s="66">
        <v>127.0</v>
      </c>
      <c r="C83" s="66">
        <v>2.0</v>
      </c>
      <c r="D83" s="66">
        <v>0.0</v>
      </c>
      <c r="E83" s="67">
        <v>0.0</v>
      </c>
      <c r="F83" s="66">
        <v>126.0</v>
      </c>
      <c r="G83" s="68" t="str">
        <f t="shared" si="1"/>
        <v>NA</v>
      </c>
    </row>
    <row r="84">
      <c r="A84" s="27" t="s">
        <v>193</v>
      </c>
      <c r="B84" s="66">
        <v>0.0</v>
      </c>
      <c r="C84" s="66">
        <v>0.0</v>
      </c>
      <c r="D84" s="66">
        <v>0.0</v>
      </c>
      <c r="E84" s="67">
        <v>0.0</v>
      </c>
      <c r="F84" s="66">
        <v>1.0</v>
      </c>
      <c r="G84" s="68" t="str">
        <f t="shared" si="1"/>
        <v>NA</v>
      </c>
    </row>
    <row r="85">
      <c r="A85" s="27" t="s">
        <v>196</v>
      </c>
      <c r="B85" s="66">
        <v>31.0</v>
      </c>
      <c r="C85" s="66">
        <v>0.0</v>
      </c>
      <c r="D85" s="66">
        <v>0.0</v>
      </c>
      <c r="E85" s="67">
        <v>0.0</v>
      </c>
      <c r="F85" s="66">
        <v>26.0</v>
      </c>
      <c r="G85" s="68" t="str">
        <f t="shared" si="1"/>
        <v>NA</v>
      </c>
    </row>
    <row r="86">
      <c r="A86" s="27" t="s">
        <v>636</v>
      </c>
      <c r="B86" s="66">
        <v>21.0</v>
      </c>
      <c r="C86" s="66">
        <v>0.0</v>
      </c>
      <c r="D86" s="66">
        <v>0.0</v>
      </c>
      <c r="E86" s="67">
        <v>0.0</v>
      </c>
      <c r="F86" s="66">
        <v>20.0</v>
      </c>
      <c r="G86" s="68" t="str">
        <f t="shared" si="1"/>
        <v>NA</v>
      </c>
    </row>
    <row r="87">
      <c r="A87" s="27" t="s">
        <v>637</v>
      </c>
      <c r="B87" s="66">
        <v>4.0</v>
      </c>
      <c r="C87" s="66">
        <v>0.0</v>
      </c>
      <c r="D87" s="66">
        <v>0.0</v>
      </c>
      <c r="E87" s="67">
        <v>0.0</v>
      </c>
      <c r="F87" s="66">
        <v>3.0</v>
      </c>
      <c r="G87" s="68" t="str">
        <f t="shared" si="1"/>
        <v>NA</v>
      </c>
    </row>
    <row r="88">
      <c r="A88" s="27" t="s">
        <v>209</v>
      </c>
      <c r="B88" s="66">
        <v>0.0</v>
      </c>
      <c r="C88" s="66">
        <v>0.0</v>
      </c>
      <c r="D88" s="66">
        <v>1511.0</v>
      </c>
      <c r="E88" s="67">
        <v>0.0</v>
      </c>
      <c r="F88" s="66">
        <v>3084.0</v>
      </c>
      <c r="G88" s="68">
        <f t="shared" si="1"/>
        <v>2.041032429</v>
      </c>
    </row>
    <row r="89">
      <c r="A89" s="27" t="s">
        <v>638</v>
      </c>
      <c r="B89" s="66">
        <v>0.0</v>
      </c>
      <c r="C89" s="66">
        <v>0.0</v>
      </c>
      <c r="D89" s="66">
        <v>80.0</v>
      </c>
      <c r="E89" s="67">
        <v>0.0</v>
      </c>
      <c r="F89" s="66">
        <v>202.0</v>
      </c>
      <c r="G89" s="68">
        <f t="shared" si="1"/>
        <v>2.525</v>
      </c>
    </row>
    <row r="90">
      <c r="A90" s="27" t="s">
        <v>146</v>
      </c>
      <c r="B90" s="66">
        <v>60.0</v>
      </c>
      <c r="C90" s="66">
        <v>3.0</v>
      </c>
      <c r="D90" s="66">
        <v>0.0</v>
      </c>
      <c r="E90" s="67">
        <v>0.0</v>
      </c>
      <c r="F90" s="66">
        <v>58.0</v>
      </c>
      <c r="G90" s="68" t="str">
        <f t="shared" si="1"/>
        <v>NA</v>
      </c>
    </row>
    <row r="91">
      <c r="A91" s="27" t="s">
        <v>214</v>
      </c>
      <c r="B91" s="66">
        <v>0.0</v>
      </c>
      <c r="C91" s="66">
        <v>0.0</v>
      </c>
      <c r="D91" s="66">
        <v>549.0</v>
      </c>
      <c r="E91" s="67">
        <v>0.0</v>
      </c>
      <c r="F91" s="66">
        <v>1083.0</v>
      </c>
      <c r="G91" s="68">
        <f t="shared" si="1"/>
        <v>1.972677596</v>
      </c>
    </row>
    <row r="92">
      <c r="A92" s="27" t="s">
        <v>639</v>
      </c>
      <c r="B92" s="66">
        <v>0.0</v>
      </c>
      <c r="C92" s="66">
        <v>0.0</v>
      </c>
      <c r="D92" s="66">
        <v>33.0</v>
      </c>
      <c r="E92" s="67">
        <v>0.0</v>
      </c>
      <c r="F92" s="66">
        <v>51.0</v>
      </c>
      <c r="G92" s="68">
        <f t="shared" si="1"/>
        <v>1.545454545</v>
      </c>
    </row>
    <row r="93">
      <c r="A93" s="27" t="s">
        <v>169</v>
      </c>
      <c r="B93" s="66">
        <v>0.0</v>
      </c>
      <c r="C93" s="66">
        <v>8.0</v>
      </c>
      <c r="D93" s="66">
        <v>0.0</v>
      </c>
      <c r="E93" s="67">
        <v>0.0</v>
      </c>
      <c r="F93" s="66">
        <v>6.0</v>
      </c>
      <c r="G93" s="68" t="str">
        <f t="shared" si="1"/>
        <v>NA</v>
      </c>
    </row>
    <row r="94">
      <c r="A94" s="27" t="s">
        <v>218</v>
      </c>
      <c r="B94" s="66">
        <v>0.0</v>
      </c>
      <c r="C94" s="66">
        <v>1.0</v>
      </c>
      <c r="D94" s="66">
        <v>0.0</v>
      </c>
      <c r="E94" s="67">
        <v>0.0</v>
      </c>
      <c r="F94" s="66">
        <v>1.0</v>
      </c>
      <c r="G94" s="68" t="str">
        <f t="shared" si="1"/>
        <v>NA</v>
      </c>
    </row>
    <row r="95">
      <c r="A95" s="27" t="s">
        <v>220</v>
      </c>
      <c r="B95" s="66">
        <v>0.0</v>
      </c>
      <c r="C95" s="66">
        <v>0.0</v>
      </c>
      <c r="D95" s="66">
        <v>0.0</v>
      </c>
      <c r="E95" s="67">
        <v>0.0</v>
      </c>
      <c r="F95" s="66">
        <v>18.0</v>
      </c>
      <c r="G95" s="68" t="str">
        <f t="shared" si="1"/>
        <v>NA</v>
      </c>
    </row>
    <row r="96">
      <c r="A96" s="27" t="s">
        <v>222</v>
      </c>
      <c r="B96" s="66">
        <v>0.0</v>
      </c>
      <c r="C96" s="66">
        <v>0.0</v>
      </c>
      <c r="D96" s="66">
        <v>0.0</v>
      </c>
      <c r="E96" s="67">
        <v>0.0</v>
      </c>
      <c r="F96" s="66">
        <v>8.0</v>
      </c>
      <c r="G96" s="68" t="str">
        <f t="shared" si="1"/>
        <v>NA</v>
      </c>
    </row>
    <row r="97">
      <c r="A97" s="27" t="s">
        <v>152</v>
      </c>
      <c r="B97" s="66">
        <v>111.0</v>
      </c>
      <c r="C97" s="66">
        <v>8.0</v>
      </c>
      <c r="D97" s="66">
        <v>0.0</v>
      </c>
      <c r="E97" s="67">
        <v>0.0</v>
      </c>
      <c r="F97" s="66">
        <v>105.0</v>
      </c>
      <c r="G97" s="68" t="str">
        <f t="shared" si="1"/>
        <v>NA</v>
      </c>
    </row>
    <row r="98">
      <c r="A98" s="27" t="s">
        <v>224</v>
      </c>
      <c r="B98" s="66">
        <v>0.0</v>
      </c>
      <c r="C98" s="66">
        <v>0.0</v>
      </c>
      <c r="D98" s="66">
        <v>0.0</v>
      </c>
      <c r="E98" s="67">
        <v>0.0</v>
      </c>
      <c r="F98" s="66">
        <v>1.0</v>
      </c>
      <c r="G98" s="68" t="str">
        <f t="shared" si="1"/>
        <v>NA</v>
      </c>
    </row>
    <row r="99">
      <c r="A99" s="27" t="s">
        <v>228</v>
      </c>
      <c r="B99" s="66">
        <v>0.0</v>
      </c>
      <c r="C99" s="66">
        <v>0.0</v>
      </c>
      <c r="D99" s="66">
        <v>0.0</v>
      </c>
      <c r="E99" s="67">
        <v>0.0</v>
      </c>
      <c r="F99" s="66">
        <v>1.0</v>
      </c>
      <c r="G99" s="68" t="str">
        <f t="shared" si="1"/>
        <v>NA</v>
      </c>
    </row>
    <row r="100">
      <c r="A100" s="27" t="s">
        <v>233</v>
      </c>
      <c r="B100" s="66">
        <v>0.0</v>
      </c>
      <c r="C100" s="66">
        <v>0.0</v>
      </c>
      <c r="D100" s="66">
        <v>0.0</v>
      </c>
      <c r="E100" s="67">
        <v>0.0</v>
      </c>
      <c r="F100" s="66">
        <v>5.0</v>
      </c>
      <c r="G100" s="68" t="str">
        <f t="shared" si="1"/>
        <v>NA</v>
      </c>
    </row>
    <row r="101">
      <c r="A101" s="27"/>
      <c r="B101" s="66"/>
      <c r="C101" s="66"/>
      <c r="D101" s="66"/>
      <c r="E101" s="66"/>
      <c r="F101" s="66"/>
    </row>
    <row r="102">
      <c r="A102" s="27"/>
      <c r="B102" s="66"/>
      <c r="C102" s="66"/>
      <c r="D102" s="66"/>
      <c r="E102" s="66"/>
      <c r="F102" s="66"/>
    </row>
    <row r="103">
      <c r="A103" s="27"/>
      <c r="B103" s="66"/>
      <c r="C103" s="66"/>
      <c r="D103" s="66"/>
      <c r="E103" s="66"/>
      <c r="F103" s="66"/>
    </row>
    <row r="104">
      <c r="A104" s="27"/>
      <c r="B104" s="66"/>
      <c r="C104" s="66"/>
      <c r="D104" s="66"/>
      <c r="E104" s="66"/>
      <c r="F104" s="66"/>
    </row>
    <row r="105">
      <c r="A105" s="27"/>
      <c r="B105" s="66"/>
      <c r="C105" s="66"/>
      <c r="D105" s="66"/>
      <c r="E105" s="66"/>
      <c r="F105" s="66"/>
    </row>
    <row r="106">
      <c r="A106" s="27"/>
      <c r="B106" s="66"/>
      <c r="C106" s="66"/>
      <c r="D106" s="66"/>
      <c r="E106" s="66"/>
      <c r="F106" s="66"/>
    </row>
    <row r="107">
      <c r="A107" s="27"/>
      <c r="B107" s="66"/>
      <c r="C107" s="66"/>
      <c r="D107" s="66"/>
      <c r="E107" s="66"/>
      <c r="F107" s="66"/>
    </row>
    <row r="108">
      <c r="A108" s="27"/>
      <c r="B108" s="66"/>
      <c r="C108" s="66"/>
      <c r="D108" s="66"/>
      <c r="E108" s="66"/>
      <c r="F108" s="66"/>
    </row>
    <row r="109">
      <c r="A109" s="27"/>
      <c r="B109" s="66"/>
      <c r="C109" s="66"/>
      <c r="D109" s="66"/>
      <c r="E109" s="66"/>
      <c r="F109" s="66"/>
    </row>
    <row r="110">
      <c r="A110" s="27"/>
      <c r="B110" s="66"/>
      <c r="C110" s="66"/>
      <c r="D110" s="66"/>
      <c r="E110" s="66"/>
      <c r="F110" s="66"/>
    </row>
    <row r="111">
      <c r="A111" s="27"/>
      <c r="B111" s="66"/>
      <c r="C111" s="66"/>
      <c r="D111" s="66"/>
      <c r="E111" s="66"/>
      <c r="F111" s="66"/>
    </row>
    <row r="112">
      <c r="A112" s="27"/>
      <c r="B112" s="66"/>
      <c r="C112" s="66"/>
      <c r="D112" s="66"/>
      <c r="E112" s="66"/>
      <c r="F112" s="66"/>
    </row>
    <row r="113">
      <c r="A113" s="27"/>
      <c r="B113" s="66"/>
      <c r="C113" s="66"/>
      <c r="D113" s="66"/>
      <c r="E113" s="66"/>
      <c r="F113" s="66"/>
    </row>
    <row r="114">
      <c r="A114" s="27"/>
      <c r="B114" s="66"/>
      <c r="C114" s="66"/>
      <c r="D114" s="66"/>
      <c r="E114" s="66"/>
      <c r="F114" s="66"/>
    </row>
    <row r="115">
      <c r="A115" s="27"/>
      <c r="B115" s="66"/>
      <c r="C115" s="66"/>
      <c r="D115" s="66"/>
      <c r="E115" s="66"/>
      <c r="F115" s="66"/>
    </row>
    <row r="116">
      <c r="A116" s="27"/>
      <c r="B116" s="66"/>
      <c r="C116" s="66"/>
      <c r="D116" s="66"/>
      <c r="E116" s="66"/>
      <c r="F116" s="66"/>
    </row>
  </sheetData>
  <autoFilter ref="$A$1:$F$116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3" max="3" width="15.63"/>
    <col customWidth="1" min="4" max="4" width="14.63"/>
  </cols>
  <sheetData>
    <row r="1">
      <c r="A1" s="27" t="s">
        <v>250</v>
      </c>
      <c r="B1" s="27" t="s">
        <v>255</v>
      </c>
      <c r="C1" s="27" t="s">
        <v>256</v>
      </c>
      <c r="D1" s="27" t="s">
        <v>632</v>
      </c>
      <c r="E1" s="27" t="s">
        <v>633</v>
      </c>
      <c r="F1" s="27" t="s">
        <v>252</v>
      </c>
    </row>
    <row r="2">
      <c r="A2" s="12" t="s">
        <v>23</v>
      </c>
      <c r="B2" s="66">
        <v>7870.0</v>
      </c>
      <c r="C2" s="66">
        <v>781.0</v>
      </c>
      <c r="D2" s="66">
        <v>221.0</v>
      </c>
      <c r="E2" s="67">
        <v>192043.9998</v>
      </c>
      <c r="F2" s="66">
        <v>7147.0</v>
      </c>
    </row>
    <row r="3">
      <c r="A3" s="27" t="s">
        <v>26</v>
      </c>
      <c r="B3" s="66">
        <v>7039.0</v>
      </c>
      <c r="C3" s="66">
        <v>761.0</v>
      </c>
      <c r="D3" s="66">
        <v>214.0</v>
      </c>
      <c r="E3" s="67">
        <v>190336.0018</v>
      </c>
      <c r="F3" s="66">
        <v>6541.0</v>
      </c>
    </row>
    <row r="4">
      <c r="A4" s="27" t="s">
        <v>28</v>
      </c>
      <c r="B4" s="66">
        <v>2509.0</v>
      </c>
      <c r="C4" s="66">
        <v>408.0</v>
      </c>
      <c r="D4" s="66">
        <v>122.0</v>
      </c>
      <c r="E4" s="67">
        <v>157680.9988</v>
      </c>
      <c r="F4" s="66">
        <v>2341.0</v>
      </c>
    </row>
    <row r="5">
      <c r="A5" s="27" t="s">
        <v>31</v>
      </c>
      <c r="B5" s="66">
        <v>5707.0</v>
      </c>
      <c r="C5" s="66">
        <v>623.0</v>
      </c>
      <c r="D5" s="66">
        <v>160.0</v>
      </c>
      <c r="E5" s="67">
        <v>113539.9991</v>
      </c>
      <c r="F5" s="66">
        <v>5252.0</v>
      </c>
    </row>
    <row r="6">
      <c r="A6" s="27" t="s">
        <v>33</v>
      </c>
      <c r="B6" s="66">
        <v>2356.0</v>
      </c>
      <c r="C6" s="66">
        <v>636.0</v>
      </c>
      <c r="D6" s="66">
        <v>171.0</v>
      </c>
      <c r="E6" s="67">
        <v>101319.0012</v>
      </c>
      <c r="F6" s="66">
        <v>2316.0</v>
      </c>
    </row>
    <row r="7">
      <c r="A7" s="27" t="s">
        <v>42</v>
      </c>
      <c r="B7" s="66">
        <v>1383.0</v>
      </c>
      <c r="C7" s="66">
        <v>279.0</v>
      </c>
      <c r="D7" s="66">
        <v>90.0</v>
      </c>
      <c r="E7" s="67">
        <v>90842.00009</v>
      </c>
      <c r="F7" s="66">
        <v>1333.0</v>
      </c>
    </row>
    <row r="8">
      <c r="A8" s="27" t="s">
        <v>40</v>
      </c>
      <c r="B8" s="66">
        <v>1235.0</v>
      </c>
      <c r="C8" s="66">
        <v>158.0</v>
      </c>
      <c r="D8" s="66">
        <v>47.0</v>
      </c>
      <c r="E8" s="67">
        <v>81477.0002</v>
      </c>
      <c r="F8" s="66">
        <v>1113.0</v>
      </c>
    </row>
    <row r="9">
      <c r="A9" s="27" t="s">
        <v>52</v>
      </c>
      <c r="B9" s="66">
        <v>1018.0</v>
      </c>
      <c r="C9" s="66">
        <v>156.0</v>
      </c>
      <c r="D9" s="66">
        <v>41.0</v>
      </c>
      <c r="E9" s="67">
        <v>80419.00022</v>
      </c>
      <c r="F9" s="66">
        <v>935.0</v>
      </c>
    </row>
    <row r="10">
      <c r="A10" s="27" t="s">
        <v>35</v>
      </c>
      <c r="B10" s="66">
        <v>1094.0</v>
      </c>
      <c r="C10" s="66">
        <v>221.0</v>
      </c>
      <c r="D10" s="66">
        <v>75.0</v>
      </c>
      <c r="E10" s="67">
        <v>79281.00042</v>
      </c>
      <c r="F10" s="66">
        <v>1055.0</v>
      </c>
    </row>
    <row r="11">
      <c r="A11" s="27" t="s">
        <v>37</v>
      </c>
      <c r="B11" s="66">
        <v>3746.0</v>
      </c>
      <c r="C11" s="66">
        <v>458.0</v>
      </c>
      <c r="D11" s="66">
        <v>129.0</v>
      </c>
      <c r="E11" s="67">
        <v>70820.99938</v>
      </c>
      <c r="F11" s="66">
        <v>3472.0</v>
      </c>
    </row>
    <row r="12">
      <c r="A12" s="27" t="s">
        <v>44</v>
      </c>
      <c r="B12" s="66">
        <v>1426.0</v>
      </c>
      <c r="C12" s="66">
        <v>350.0</v>
      </c>
      <c r="D12" s="66">
        <v>101.0</v>
      </c>
      <c r="E12" s="67">
        <v>63588.9999</v>
      </c>
      <c r="F12" s="66">
        <v>1422.0</v>
      </c>
    </row>
    <row r="13">
      <c r="A13" s="27" t="s">
        <v>62</v>
      </c>
      <c r="B13" s="66">
        <v>2650.0</v>
      </c>
      <c r="C13" s="66">
        <v>330.0</v>
      </c>
      <c r="D13" s="66">
        <v>98.0</v>
      </c>
      <c r="E13" s="67">
        <v>58561.99923</v>
      </c>
      <c r="F13" s="66">
        <v>2473.0</v>
      </c>
    </row>
    <row r="14">
      <c r="A14" s="27" t="s">
        <v>65</v>
      </c>
      <c r="B14" s="66">
        <v>853.0</v>
      </c>
      <c r="C14" s="66">
        <v>200.0</v>
      </c>
      <c r="D14" s="66">
        <v>60.0</v>
      </c>
      <c r="E14" s="67">
        <v>53294.9999</v>
      </c>
      <c r="F14" s="66">
        <v>814.0</v>
      </c>
    </row>
    <row r="15">
      <c r="A15" s="27" t="s">
        <v>46</v>
      </c>
      <c r="B15" s="66">
        <v>596.0</v>
      </c>
      <c r="C15" s="66">
        <v>235.0</v>
      </c>
      <c r="D15" s="66">
        <v>72.0</v>
      </c>
      <c r="E15" s="67">
        <v>50327.99957</v>
      </c>
      <c r="F15" s="66">
        <v>718.0</v>
      </c>
    </row>
    <row r="16">
      <c r="A16" s="27" t="s">
        <v>48</v>
      </c>
      <c r="B16" s="66">
        <v>1002.0</v>
      </c>
      <c r="C16" s="66">
        <v>110.0</v>
      </c>
      <c r="D16" s="66">
        <v>34.0</v>
      </c>
      <c r="E16" s="67">
        <v>45782.0002</v>
      </c>
      <c r="F16" s="66">
        <v>967.0</v>
      </c>
    </row>
    <row r="17">
      <c r="A17" s="27" t="s">
        <v>60</v>
      </c>
      <c r="B17" s="66">
        <v>381.0</v>
      </c>
      <c r="C17" s="66">
        <v>131.0</v>
      </c>
      <c r="D17" s="66">
        <v>50.0</v>
      </c>
      <c r="E17" s="67">
        <v>38751.50016</v>
      </c>
      <c r="F17" s="66">
        <v>475.0</v>
      </c>
    </row>
    <row r="18">
      <c r="A18" s="27" t="s">
        <v>54</v>
      </c>
      <c r="B18" s="66">
        <v>750.0</v>
      </c>
      <c r="C18" s="66">
        <v>73.0</v>
      </c>
      <c r="D18" s="66">
        <v>25.0</v>
      </c>
      <c r="E18" s="67">
        <v>38622.00016</v>
      </c>
      <c r="F18" s="66">
        <v>729.0</v>
      </c>
    </row>
    <row r="19">
      <c r="A19" s="27" t="s">
        <v>81</v>
      </c>
      <c r="B19" s="66">
        <v>415.0</v>
      </c>
      <c r="C19" s="66">
        <v>91.0</v>
      </c>
      <c r="D19" s="66">
        <v>37.0</v>
      </c>
      <c r="E19" s="67">
        <v>36963.00013</v>
      </c>
      <c r="F19" s="66">
        <v>399.0</v>
      </c>
    </row>
    <row r="20">
      <c r="A20" s="27" t="s">
        <v>73</v>
      </c>
      <c r="B20" s="66">
        <v>1004.0</v>
      </c>
      <c r="C20" s="66">
        <v>180.0</v>
      </c>
      <c r="D20" s="66">
        <v>61.0</v>
      </c>
      <c r="E20" s="67">
        <v>35911.00069</v>
      </c>
      <c r="F20" s="66">
        <v>965.0</v>
      </c>
    </row>
    <row r="21">
      <c r="A21" s="27" t="s">
        <v>106</v>
      </c>
      <c r="B21" s="66">
        <v>654.0</v>
      </c>
      <c r="C21" s="66">
        <v>123.0</v>
      </c>
      <c r="D21" s="66">
        <v>37.0</v>
      </c>
      <c r="E21" s="67">
        <v>32903.00009</v>
      </c>
      <c r="F21" s="66">
        <v>592.0</v>
      </c>
    </row>
    <row r="22">
      <c r="A22" s="27" t="s">
        <v>75</v>
      </c>
      <c r="B22" s="66">
        <v>476.0</v>
      </c>
      <c r="C22" s="66">
        <v>74.0</v>
      </c>
      <c r="D22" s="66">
        <v>21.0</v>
      </c>
      <c r="E22" s="67">
        <v>31365.99995</v>
      </c>
      <c r="F22" s="66">
        <v>419.0</v>
      </c>
    </row>
    <row r="23">
      <c r="A23" s="27" t="s">
        <v>83</v>
      </c>
      <c r="B23" s="66">
        <v>532.0</v>
      </c>
      <c r="C23" s="66">
        <v>48.0</v>
      </c>
      <c r="D23" s="66">
        <v>20.0</v>
      </c>
      <c r="E23" s="67">
        <v>30792.00011</v>
      </c>
      <c r="F23" s="66">
        <v>485.0</v>
      </c>
    </row>
    <row r="24">
      <c r="A24" s="27" t="s">
        <v>50</v>
      </c>
      <c r="B24" s="66">
        <v>881.0</v>
      </c>
      <c r="C24" s="66">
        <v>129.0</v>
      </c>
      <c r="D24" s="66">
        <v>29.0</v>
      </c>
      <c r="E24" s="67">
        <v>26410.99985</v>
      </c>
      <c r="F24" s="66">
        <v>808.0</v>
      </c>
    </row>
    <row r="25">
      <c r="A25" s="27" t="s">
        <v>58</v>
      </c>
      <c r="B25" s="66">
        <v>599.0</v>
      </c>
      <c r="C25" s="66">
        <v>115.0</v>
      </c>
      <c r="D25" s="66">
        <v>67.0</v>
      </c>
      <c r="E25" s="67">
        <v>24159.8503</v>
      </c>
      <c r="F25" s="66">
        <v>659.0</v>
      </c>
    </row>
    <row r="26">
      <c r="A26" s="27" t="s">
        <v>77</v>
      </c>
      <c r="B26" s="66">
        <v>671.0</v>
      </c>
      <c r="C26" s="66">
        <v>173.0</v>
      </c>
      <c r="D26" s="66">
        <v>52.0</v>
      </c>
      <c r="E26" s="67">
        <v>23017.99993</v>
      </c>
      <c r="F26" s="66">
        <v>684.0</v>
      </c>
    </row>
    <row r="27">
      <c r="A27" s="27" t="s">
        <v>69</v>
      </c>
      <c r="B27" s="66">
        <v>1154.0</v>
      </c>
      <c r="C27" s="66">
        <v>63.0</v>
      </c>
      <c r="D27" s="66">
        <v>48.0</v>
      </c>
      <c r="E27" s="67">
        <v>20025.39941</v>
      </c>
      <c r="F27" s="66">
        <v>1154.0</v>
      </c>
    </row>
    <row r="28">
      <c r="A28" s="27" t="s">
        <v>79</v>
      </c>
      <c r="B28" s="66">
        <v>1102.0</v>
      </c>
      <c r="C28" s="66">
        <v>93.0</v>
      </c>
      <c r="D28" s="66">
        <v>28.0</v>
      </c>
      <c r="E28" s="67">
        <v>19371.99978</v>
      </c>
      <c r="F28" s="66">
        <v>1065.0</v>
      </c>
    </row>
    <row r="29">
      <c r="A29" s="27" t="s">
        <v>67</v>
      </c>
      <c r="B29" s="66">
        <v>366.0</v>
      </c>
      <c r="C29" s="66">
        <v>33.0</v>
      </c>
      <c r="D29" s="66">
        <v>11.0</v>
      </c>
      <c r="E29" s="67">
        <v>19003.9998</v>
      </c>
      <c r="F29" s="66">
        <v>345.0</v>
      </c>
    </row>
    <row r="30">
      <c r="A30" s="27" t="s">
        <v>134</v>
      </c>
      <c r="B30" s="66">
        <v>180.0</v>
      </c>
      <c r="C30" s="66">
        <v>40.0</v>
      </c>
      <c r="D30" s="66">
        <v>14.0</v>
      </c>
      <c r="E30" s="67">
        <v>18726.00014</v>
      </c>
      <c r="F30" s="66">
        <v>179.0</v>
      </c>
    </row>
    <row r="31">
      <c r="A31" s="27" t="s">
        <v>87</v>
      </c>
      <c r="B31" s="66">
        <v>1123.0</v>
      </c>
      <c r="C31" s="66">
        <v>130.0</v>
      </c>
      <c r="D31" s="66">
        <v>34.0</v>
      </c>
      <c r="E31" s="67">
        <v>18643.00007</v>
      </c>
      <c r="F31" s="66">
        <v>1015.0</v>
      </c>
    </row>
    <row r="32">
      <c r="A32" s="27" t="s">
        <v>437</v>
      </c>
      <c r="B32" s="66">
        <v>276.0</v>
      </c>
      <c r="C32" s="66">
        <v>34.0</v>
      </c>
      <c r="D32" s="66">
        <v>10.0</v>
      </c>
      <c r="E32" s="67">
        <v>17404.00004</v>
      </c>
      <c r="F32" s="66">
        <v>266.0</v>
      </c>
    </row>
    <row r="33">
      <c r="A33" s="27" t="s">
        <v>91</v>
      </c>
      <c r="B33" s="66">
        <v>519.0</v>
      </c>
      <c r="C33" s="66">
        <v>61.0</v>
      </c>
      <c r="D33" s="66">
        <v>11.0</v>
      </c>
      <c r="E33" s="67">
        <v>17315.0001</v>
      </c>
      <c r="F33" s="66">
        <v>485.0</v>
      </c>
    </row>
    <row r="34">
      <c r="A34" s="27" t="s">
        <v>56</v>
      </c>
      <c r="B34" s="66">
        <v>590.0</v>
      </c>
      <c r="C34" s="66">
        <v>56.0</v>
      </c>
      <c r="D34" s="66">
        <v>12.0</v>
      </c>
      <c r="E34" s="67">
        <v>15344.99998</v>
      </c>
      <c r="F34" s="66">
        <v>549.0</v>
      </c>
    </row>
    <row r="35">
      <c r="A35" s="27" t="s">
        <v>95</v>
      </c>
      <c r="B35" s="66">
        <v>636.0</v>
      </c>
      <c r="C35" s="66">
        <v>106.0</v>
      </c>
      <c r="D35" s="66">
        <v>31.0</v>
      </c>
      <c r="E35" s="67">
        <v>14469.00011</v>
      </c>
      <c r="F35" s="66">
        <v>652.0</v>
      </c>
    </row>
    <row r="36">
      <c r="A36" s="27" t="s">
        <v>160</v>
      </c>
      <c r="B36" s="66">
        <v>0.0</v>
      </c>
      <c r="C36" s="66">
        <v>0.0</v>
      </c>
      <c r="D36" s="66">
        <v>105.0</v>
      </c>
      <c r="E36" s="67">
        <v>14111.99951</v>
      </c>
      <c r="F36" s="66">
        <v>183.0</v>
      </c>
    </row>
    <row r="37">
      <c r="A37" s="27" t="s">
        <v>101</v>
      </c>
      <c r="B37" s="66">
        <v>325.0</v>
      </c>
      <c r="C37" s="66">
        <v>31.0</v>
      </c>
      <c r="D37" s="66">
        <v>10.0</v>
      </c>
      <c r="E37" s="67">
        <v>13926.0001</v>
      </c>
      <c r="F37" s="66">
        <v>295.0</v>
      </c>
    </row>
    <row r="38">
      <c r="A38" s="27" t="s">
        <v>85</v>
      </c>
      <c r="B38" s="66">
        <v>321.0</v>
      </c>
      <c r="C38" s="66">
        <v>38.0</v>
      </c>
      <c r="D38" s="66">
        <v>12.0</v>
      </c>
      <c r="E38" s="67">
        <v>13325.00002</v>
      </c>
      <c r="F38" s="66">
        <v>305.0</v>
      </c>
    </row>
    <row r="39">
      <c r="A39" s="27" t="s">
        <v>71</v>
      </c>
      <c r="B39" s="66">
        <v>191.0</v>
      </c>
      <c r="C39" s="66">
        <v>28.0</v>
      </c>
      <c r="D39" s="66">
        <v>7.0</v>
      </c>
      <c r="E39" s="67">
        <v>12784.99995</v>
      </c>
      <c r="F39" s="66">
        <v>174.0</v>
      </c>
    </row>
    <row r="40">
      <c r="A40" s="27" t="s">
        <v>97</v>
      </c>
      <c r="B40" s="66">
        <v>1196.0</v>
      </c>
      <c r="C40" s="66">
        <v>74.0</v>
      </c>
      <c r="D40" s="66">
        <v>22.0</v>
      </c>
      <c r="E40" s="67">
        <v>12171.99976</v>
      </c>
      <c r="F40" s="66">
        <v>1113.0</v>
      </c>
    </row>
    <row r="41">
      <c r="A41" s="27" t="s">
        <v>122</v>
      </c>
      <c r="B41" s="66">
        <v>897.0</v>
      </c>
      <c r="C41" s="66">
        <v>38.0</v>
      </c>
      <c r="D41" s="66">
        <v>16.0</v>
      </c>
      <c r="E41" s="67">
        <v>10552.00022</v>
      </c>
      <c r="F41" s="66">
        <v>843.0</v>
      </c>
    </row>
    <row r="42">
      <c r="A42" s="27" t="s">
        <v>108</v>
      </c>
      <c r="B42" s="66">
        <v>641.0</v>
      </c>
      <c r="C42" s="66">
        <v>94.0</v>
      </c>
      <c r="D42" s="66">
        <v>21.0</v>
      </c>
      <c r="E42" s="67">
        <v>10479.00012</v>
      </c>
      <c r="F42" s="66">
        <v>593.0</v>
      </c>
    </row>
    <row r="43">
      <c r="A43" s="27" t="s">
        <v>142</v>
      </c>
      <c r="B43" s="66">
        <v>190.0</v>
      </c>
      <c r="C43" s="66">
        <v>66.0</v>
      </c>
      <c r="D43" s="66">
        <v>25.0</v>
      </c>
      <c r="E43" s="67">
        <v>8725.000082</v>
      </c>
      <c r="F43" s="66">
        <v>215.0</v>
      </c>
    </row>
    <row r="44">
      <c r="A44" s="27" t="s">
        <v>124</v>
      </c>
      <c r="B44" s="66">
        <v>309.0</v>
      </c>
      <c r="C44" s="66">
        <v>69.0</v>
      </c>
      <c r="D44" s="66">
        <v>18.0</v>
      </c>
      <c r="E44" s="67">
        <v>8620.000152</v>
      </c>
      <c r="F44" s="66">
        <v>313.0</v>
      </c>
    </row>
    <row r="45">
      <c r="A45" s="27" t="s">
        <v>148</v>
      </c>
      <c r="B45" s="66">
        <v>322.0</v>
      </c>
      <c r="C45" s="66">
        <v>37.0</v>
      </c>
      <c r="D45" s="66">
        <v>8.0</v>
      </c>
      <c r="E45" s="67">
        <v>8358.999938</v>
      </c>
      <c r="F45" s="66">
        <v>302.0</v>
      </c>
    </row>
    <row r="46">
      <c r="A46" s="27" t="s">
        <v>99</v>
      </c>
      <c r="B46" s="66">
        <v>184.0</v>
      </c>
      <c r="C46" s="66">
        <v>39.0</v>
      </c>
      <c r="D46" s="66">
        <v>7.0</v>
      </c>
      <c r="E46" s="67">
        <v>8038.00003</v>
      </c>
      <c r="F46" s="66">
        <v>170.0</v>
      </c>
    </row>
    <row r="47">
      <c r="A47" s="27" t="s">
        <v>114</v>
      </c>
      <c r="B47" s="66">
        <v>272.0</v>
      </c>
      <c r="C47" s="66">
        <v>78.0</v>
      </c>
      <c r="D47" s="66">
        <v>16.0</v>
      </c>
      <c r="E47" s="67">
        <v>7984.000021</v>
      </c>
      <c r="F47" s="66">
        <v>302.0</v>
      </c>
    </row>
    <row r="48">
      <c r="A48" s="27" t="s">
        <v>89</v>
      </c>
      <c r="B48" s="66">
        <v>253.0</v>
      </c>
      <c r="C48" s="66">
        <v>17.0</v>
      </c>
      <c r="D48" s="66">
        <v>6.0</v>
      </c>
      <c r="E48" s="67">
        <v>7475.999977</v>
      </c>
      <c r="F48" s="66">
        <v>233.0</v>
      </c>
    </row>
    <row r="49">
      <c r="A49" s="27" t="s">
        <v>110</v>
      </c>
      <c r="B49" s="66">
        <v>228.0</v>
      </c>
      <c r="C49" s="66">
        <v>30.0</v>
      </c>
      <c r="D49" s="66">
        <v>9.0</v>
      </c>
      <c r="E49" s="67">
        <v>7340.999982</v>
      </c>
      <c r="F49" s="66">
        <v>200.0</v>
      </c>
    </row>
    <row r="50">
      <c r="A50" s="27" t="s">
        <v>93</v>
      </c>
      <c r="B50" s="66">
        <v>159.0</v>
      </c>
      <c r="C50" s="66">
        <v>20.0</v>
      </c>
      <c r="D50" s="66">
        <v>7.0</v>
      </c>
      <c r="E50" s="67">
        <v>7279.000097</v>
      </c>
      <c r="F50" s="66">
        <v>151.0</v>
      </c>
    </row>
    <row r="51">
      <c r="A51" s="27" t="s">
        <v>128</v>
      </c>
      <c r="B51" s="66">
        <v>349.0</v>
      </c>
      <c r="C51" s="66">
        <v>22.0</v>
      </c>
      <c r="D51" s="66">
        <v>9.0</v>
      </c>
      <c r="E51" s="67">
        <v>6462.000108</v>
      </c>
      <c r="F51" s="66">
        <v>341.0</v>
      </c>
    </row>
    <row r="52">
      <c r="A52" s="27" t="s">
        <v>120</v>
      </c>
      <c r="B52" s="66">
        <v>368.0</v>
      </c>
      <c r="C52" s="66">
        <v>12.0</v>
      </c>
      <c r="D52" s="66">
        <v>7.0</v>
      </c>
      <c r="E52" s="67">
        <v>6433.000059</v>
      </c>
      <c r="F52" s="66">
        <v>351.0</v>
      </c>
    </row>
    <row r="53">
      <c r="A53" s="27" t="s">
        <v>103</v>
      </c>
      <c r="B53" s="66">
        <v>161.0</v>
      </c>
      <c r="C53" s="66">
        <v>53.0</v>
      </c>
      <c r="D53" s="66">
        <v>35.0</v>
      </c>
      <c r="E53" s="67">
        <v>6080.000241</v>
      </c>
      <c r="F53" s="66">
        <v>199.0</v>
      </c>
    </row>
    <row r="54">
      <c r="A54" s="27" t="s">
        <v>118</v>
      </c>
      <c r="B54" s="66">
        <v>571.0</v>
      </c>
      <c r="C54" s="66">
        <v>67.0</v>
      </c>
      <c r="D54" s="66">
        <v>10.0</v>
      </c>
      <c r="E54" s="67">
        <v>5519.999897</v>
      </c>
      <c r="F54" s="66">
        <v>560.0</v>
      </c>
    </row>
    <row r="55">
      <c r="A55" s="27" t="s">
        <v>200</v>
      </c>
      <c r="B55" s="66">
        <v>92.0</v>
      </c>
      <c r="C55" s="66">
        <v>13.0</v>
      </c>
      <c r="D55" s="66">
        <v>5.0</v>
      </c>
      <c r="E55" s="67">
        <v>5379.999948</v>
      </c>
      <c r="F55" s="66">
        <v>88.0</v>
      </c>
    </row>
    <row r="56">
      <c r="A56" s="27" t="s">
        <v>150</v>
      </c>
      <c r="B56" s="66">
        <v>88.0</v>
      </c>
      <c r="C56" s="66">
        <v>16.0</v>
      </c>
      <c r="D56" s="66">
        <v>5.0</v>
      </c>
      <c r="E56" s="67">
        <v>5236.999978</v>
      </c>
      <c r="F56" s="66">
        <v>78.0</v>
      </c>
    </row>
    <row r="57">
      <c r="A57" s="27" t="s">
        <v>138</v>
      </c>
      <c r="B57" s="66">
        <v>123.0</v>
      </c>
      <c r="C57" s="66">
        <v>16.0</v>
      </c>
      <c r="D57" s="66">
        <v>4.0</v>
      </c>
      <c r="E57" s="67">
        <v>4778.000032</v>
      </c>
      <c r="F57" s="66">
        <v>103.0</v>
      </c>
    </row>
    <row r="58">
      <c r="A58" s="27" t="s">
        <v>132</v>
      </c>
      <c r="B58" s="66">
        <v>140.0</v>
      </c>
      <c r="C58" s="66">
        <v>11.0</v>
      </c>
      <c r="D58" s="66">
        <v>4.0</v>
      </c>
      <c r="E58" s="67">
        <v>4280.000017</v>
      </c>
      <c r="F58" s="66">
        <v>131.0</v>
      </c>
    </row>
    <row r="59">
      <c r="A59" s="27" t="s">
        <v>136</v>
      </c>
      <c r="B59" s="66">
        <v>131.0</v>
      </c>
      <c r="C59" s="66">
        <v>26.0</v>
      </c>
      <c r="D59" s="66">
        <v>4.0</v>
      </c>
      <c r="E59" s="67">
        <v>4202.000013</v>
      </c>
      <c r="F59" s="66">
        <v>122.0</v>
      </c>
    </row>
    <row r="60">
      <c r="A60" s="27" t="s">
        <v>140</v>
      </c>
      <c r="B60" s="66">
        <v>1518.0</v>
      </c>
      <c r="C60" s="66">
        <v>247.0</v>
      </c>
      <c r="D60" s="66">
        <v>40.0</v>
      </c>
      <c r="E60" s="67">
        <v>3960.000064</v>
      </c>
      <c r="F60" s="66">
        <v>1448.0</v>
      </c>
    </row>
    <row r="61">
      <c r="A61" s="27" t="s">
        <v>116</v>
      </c>
      <c r="B61" s="66">
        <v>123.0</v>
      </c>
      <c r="C61" s="66">
        <v>22.0</v>
      </c>
      <c r="D61" s="66">
        <v>4.0</v>
      </c>
      <c r="E61" s="67">
        <v>3823.000048</v>
      </c>
      <c r="F61" s="66">
        <v>110.0</v>
      </c>
    </row>
    <row r="62">
      <c r="A62" s="27" t="s">
        <v>186</v>
      </c>
      <c r="B62" s="66">
        <v>33.0</v>
      </c>
      <c r="C62" s="66">
        <v>7.0</v>
      </c>
      <c r="D62" s="66">
        <v>2.0</v>
      </c>
      <c r="E62" s="67">
        <v>3465.99997</v>
      </c>
      <c r="F62" s="66">
        <v>35.0</v>
      </c>
    </row>
    <row r="63">
      <c r="A63" s="27" t="s">
        <v>112</v>
      </c>
      <c r="B63" s="66">
        <v>88.0</v>
      </c>
      <c r="C63" s="66">
        <v>17.0</v>
      </c>
      <c r="D63" s="66">
        <v>2.0</v>
      </c>
      <c r="E63" s="67">
        <v>2604.999988</v>
      </c>
      <c r="F63" s="66">
        <v>88.0</v>
      </c>
    </row>
    <row r="64">
      <c r="A64" s="27" t="s">
        <v>162</v>
      </c>
      <c r="B64" s="66">
        <v>201.0</v>
      </c>
      <c r="C64" s="66">
        <v>10.0</v>
      </c>
      <c r="D64" s="66">
        <v>3.0</v>
      </c>
      <c r="E64" s="67">
        <v>2534.999936</v>
      </c>
      <c r="F64" s="66">
        <v>196.0</v>
      </c>
    </row>
    <row r="65">
      <c r="A65" s="27" t="s">
        <v>230</v>
      </c>
      <c r="B65" s="66">
        <v>62.0</v>
      </c>
      <c r="C65" s="66">
        <v>12.0</v>
      </c>
      <c r="D65" s="66">
        <v>3.0</v>
      </c>
      <c r="E65" s="67">
        <v>2246.999957</v>
      </c>
      <c r="F65" s="66">
        <v>66.0</v>
      </c>
    </row>
    <row r="66">
      <c r="A66" s="27" t="s">
        <v>126</v>
      </c>
      <c r="B66" s="66">
        <v>107.0</v>
      </c>
      <c r="C66" s="66">
        <v>9.0</v>
      </c>
      <c r="D66" s="66">
        <v>1.0</v>
      </c>
      <c r="E66" s="67">
        <v>2103.999994</v>
      </c>
      <c r="F66" s="66">
        <v>100.0</v>
      </c>
    </row>
    <row r="67">
      <c r="A67" s="27" t="s">
        <v>130</v>
      </c>
      <c r="B67" s="66">
        <v>198.0</v>
      </c>
      <c r="C67" s="66">
        <v>18.0</v>
      </c>
      <c r="D67" s="66">
        <v>2.0</v>
      </c>
      <c r="E67" s="67">
        <v>1993.999997</v>
      </c>
      <c r="F67" s="66">
        <v>178.0</v>
      </c>
    </row>
    <row r="68">
      <c r="A68" s="27" t="s">
        <v>105</v>
      </c>
      <c r="B68" s="66">
        <v>356.0</v>
      </c>
      <c r="C68" s="66">
        <v>13.0</v>
      </c>
      <c r="D68" s="66">
        <v>1.0</v>
      </c>
      <c r="E68" s="67">
        <v>1992.000047</v>
      </c>
      <c r="F68" s="66">
        <v>319.0</v>
      </c>
    </row>
    <row r="69">
      <c r="A69" s="27" t="s">
        <v>144</v>
      </c>
      <c r="B69" s="66">
        <v>79.0</v>
      </c>
      <c r="C69" s="66">
        <v>8.0</v>
      </c>
      <c r="D69" s="66">
        <v>1.0</v>
      </c>
      <c r="E69" s="67">
        <v>1810.000008</v>
      </c>
      <c r="F69" s="66">
        <v>68.0</v>
      </c>
    </row>
    <row r="70">
      <c r="A70" s="27" t="s">
        <v>156</v>
      </c>
      <c r="B70" s="66">
        <v>96.0</v>
      </c>
      <c r="C70" s="66">
        <v>7.0</v>
      </c>
      <c r="D70" s="66">
        <v>1.0</v>
      </c>
      <c r="E70" s="67">
        <v>1711.999963</v>
      </c>
      <c r="F70" s="66">
        <v>87.0</v>
      </c>
    </row>
    <row r="71">
      <c r="A71" s="27" t="s">
        <v>226</v>
      </c>
      <c r="B71" s="66">
        <v>66.0</v>
      </c>
      <c r="C71" s="66">
        <v>7.0</v>
      </c>
      <c r="D71" s="66">
        <v>1.0</v>
      </c>
      <c r="E71" s="67">
        <v>1469.999999</v>
      </c>
      <c r="F71" s="66">
        <v>66.0</v>
      </c>
    </row>
    <row r="72">
      <c r="A72" s="27" t="s">
        <v>167</v>
      </c>
      <c r="B72" s="66">
        <v>91.0</v>
      </c>
      <c r="C72" s="66">
        <v>9.0</v>
      </c>
      <c r="D72" s="66">
        <v>2.0</v>
      </c>
      <c r="E72" s="67">
        <v>1420.000067</v>
      </c>
      <c r="F72" s="66">
        <v>87.0</v>
      </c>
    </row>
    <row r="73">
      <c r="A73" s="27" t="s">
        <v>158</v>
      </c>
      <c r="B73" s="66">
        <v>108.0</v>
      </c>
      <c r="C73" s="66">
        <v>6.0</v>
      </c>
      <c r="D73" s="66">
        <v>1.0</v>
      </c>
      <c r="E73" s="67">
        <v>1418.000034</v>
      </c>
      <c r="F73" s="66">
        <v>98.0</v>
      </c>
    </row>
    <row r="74">
      <c r="A74" s="27" t="s">
        <v>212</v>
      </c>
      <c r="B74" s="66">
        <v>46.0</v>
      </c>
      <c r="C74" s="66">
        <v>3.0</v>
      </c>
      <c r="D74" s="66">
        <v>1.0</v>
      </c>
      <c r="E74" s="67">
        <v>977.999998</v>
      </c>
      <c r="F74" s="66">
        <v>44.0</v>
      </c>
    </row>
    <row r="75">
      <c r="A75" s="27" t="s">
        <v>171</v>
      </c>
      <c r="B75" s="66">
        <v>455.0</v>
      </c>
      <c r="C75" s="66">
        <v>12.0</v>
      </c>
      <c r="D75" s="66">
        <v>181.0</v>
      </c>
      <c r="E75" s="67">
        <v>843.999998</v>
      </c>
      <c r="F75" s="66">
        <v>696.0</v>
      </c>
    </row>
    <row r="76">
      <c r="A76" s="27" t="s">
        <v>165</v>
      </c>
      <c r="B76" s="66">
        <v>179.0</v>
      </c>
      <c r="C76" s="66">
        <v>51.0</v>
      </c>
      <c r="D76" s="66">
        <v>8.0</v>
      </c>
      <c r="E76" s="67">
        <v>792.000047</v>
      </c>
      <c r="F76" s="66">
        <v>196.0</v>
      </c>
    </row>
    <row r="77">
      <c r="A77" s="27" t="s">
        <v>173</v>
      </c>
      <c r="B77" s="66">
        <v>26.0</v>
      </c>
      <c r="C77" s="66">
        <v>5.0</v>
      </c>
      <c r="D77" s="66">
        <v>1.0</v>
      </c>
      <c r="E77" s="67">
        <v>298.99998</v>
      </c>
      <c r="F77" s="66">
        <v>26.0</v>
      </c>
    </row>
    <row r="78">
      <c r="A78" s="27" t="s">
        <v>232</v>
      </c>
      <c r="B78" s="66">
        <v>29.0</v>
      </c>
      <c r="C78" s="66">
        <v>3.0</v>
      </c>
      <c r="D78" s="66">
        <v>1.0</v>
      </c>
      <c r="E78" s="67">
        <v>198.999961</v>
      </c>
      <c r="F78" s="66">
        <v>27.0</v>
      </c>
    </row>
    <row r="79">
      <c r="A79" s="27" t="s">
        <v>635</v>
      </c>
      <c r="B79" s="66">
        <v>0.0</v>
      </c>
      <c r="C79" s="66">
        <v>3.0</v>
      </c>
      <c r="D79" s="66">
        <v>0.0</v>
      </c>
      <c r="E79" s="67">
        <v>0.0</v>
      </c>
      <c r="F79" s="66">
        <v>1.0</v>
      </c>
    </row>
    <row r="80">
      <c r="A80" s="27" t="s">
        <v>174</v>
      </c>
      <c r="B80" s="66">
        <v>0.0</v>
      </c>
      <c r="C80" s="66">
        <v>0.0</v>
      </c>
      <c r="D80" s="66">
        <v>0.0</v>
      </c>
      <c r="E80" s="67">
        <v>0.0</v>
      </c>
      <c r="F80" s="66">
        <v>6.0</v>
      </c>
    </row>
    <row r="81">
      <c r="A81" s="27" t="s">
        <v>178</v>
      </c>
      <c r="B81" s="66">
        <v>0.0</v>
      </c>
      <c r="C81" s="66">
        <v>0.0</v>
      </c>
      <c r="D81" s="66">
        <v>0.0</v>
      </c>
      <c r="E81" s="67">
        <v>0.0</v>
      </c>
      <c r="F81" s="66">
        <v>1.0</v>
      </c>
    </row>
    <row r="82">
      <c r="A82" s="27" t="s">
        <v>187</v>
      </c>
      <c r="B82" s="66">
        <v>0.0</v>
      </c>
      <c r="C82" s="66">
        <v>1.0</v>
      </c>
      <c r="D82" s="66">
        <v>0.0</v>
      </c>
      <c r="E82" s="67">
        <v>0.0</v>
      </c>
      <c r="F82" s="66">
        <v>1.0</v>
      </c>
    </row>
    <row r="83">
      <c r="A83" s="27" t="s">
        <v>164</v>
      </c>
      <c r="B83" s="66">
        <v>127.0</v>
      </c>
      <c r="C83" s="66">
        <v>2.0</v>
      </c>
      <c r="D83" s="66">
        <v>0.0</v>
      </c>
      <c r="E83" s="67">
        <v>0.0</v>
      </c>
      <c r="F83" s="66">
        <v>126.0</v>
      </c>
    </row>
    <row r="84">
      <c r="A84" s="27" t="s">
        <v>193</v>
      </c>
      <c r="B84" s="66">
        <v>0.0</v>
      </c>
      <c r="C84" s="66">
        <v>0.0</v>
      </c>
      <c r="D84" s="66">
        <v>0.0</v>
      </c>
      <c r="E84" s="67">
        <v>0.0</v>
      </c>
      <c r="F84" s="66">
        <v>1.0</v>
      </c>
    </row>
    <row r="85">
      <c r="A85" s="27" t="s">
        <v>196</v>
      </c>
      <c r="B85" s="66">
        <v>31.0</v>
      </c>
      <c r="C85" s="66">
        <v>0.0</v>
      </c>
      <c r="D85" s="66">
        <v>0.0</v>
      </c>
      <c r="E85" s="67">
        <v>0.0</v>
      </c>
      <c r="F85" s="66">
        <v>26.0</v>
      </c>
    </row>
    <row r="86">
      <c r="A86" s="27" t="s">
        <v>636</v>
      </c>
      <c r="B86" s="66">
        <v>21.0</v>
      </c>
      <c r="C86" s="66">
        <v>0.0</v>
      </c>
      <c r="D86" s="66">
        <v>0.0</v>
      </c>
      <c r="E86" s="67">
        <v>0.0</v>
      </c>
      <c r="F86" s="66">
        <v>20.0</v>
      </c>
    </row>
    <row r="87">
      <c r="A87" s="27" t="s">
        <v>637</v>
      </c>
      <c r="B87" s="66">
        <v>4.0</v>
      </c>
      <c r="C87" s="66">
        <v>0.0</v>
      </c>
      <c r="D87" s="66">
        <v>0.0</v>
      </c>
      <c r="E87" s="67">
        <v>0.0</v>
      </c>
      <c r="F87" s="66">
        <v>3.0</v>
      </c>
    </row>
    <row r="88">
      <c r="A88" s="27" t="s">
        <v>209</v>
      </c>
      <c r="B88" s="66">
        <v>0.0</v>
      </c>
      <c r="C88" s="66">
        <v>0.0</v>
      </c>
      <c r="D88" s="66">
        <v>1511.0</v>
      </c>
      <c r="E88" s="67">
        <v>0.0</v>
      </c>
      <c r="F88" s="66">
        <v>3084.0</v>
      </c>
    </row>
    <row r="89">
      <c r="A89" s="27" t="s">
        <v>638</v>
      </c>
      <c r="B89" s="66">
        <v>0.0</v>
      </c>
      <c r="C89" s="66">
        <v>0.0</v>
      </c>
      <c r="D89" s="66">
        <v>80.0</v>
      </c>
      <c r="E89" s="67">
        <v>0.0</v>
      </c>
      <c r="F89" s="66">
        <v>202.0</v>
      </c>
    </row>
    <row r="90">
      <c r="A90" s="27" t="s">
        <v>146</v>
      </c>
      <c r="B90" s="66">
        <v>60.0</v>
      </c>
      <c r="C90" s="66">
        <v>3.0</v>
      </c>
      <c r="D90" s="66">
        <v>0.0</v>
      </c>
      <c r="E90" s="67">
        <v>0.0</v>
      </c>
      <c r="F90" s="66">
        <v>58.0</v>
      </c>
    </row>
    <row r="91">
      <c r="A91" s="27" t="s">
        <v>214</v>
      </c>
      <c r="B91" s="66">
        <v>0.0</v>
      </c>
      <c r="C91" s="66">
        <v>0.0</v>
      </c>
      <c r="D91" s="66">
        <v>549.0</v>
      </c>
      <c r="E91" s="67">
        <v>0.0</v>
      </c>
      <c r="F91" s="66">
        <v>1083.0</v>
      </c>
    </row>
    <row r="92">
      <c r="A92" s="27" t="s">
        <v>639</v>
      </c>
      <c r="B92" s="66">
        <v>0.0</v>
      </c>
      <c r="C92" s="66">
        <v>0.0</v>
      </c>
      <c r="D92" s="66">
        <v>33.0</v>
      </c>
      <c r="E92" s="67">
        <v>0.0</v>
      </c>
      <c r="F92" s="66">
        <v>51.0</v>
      </c>
    </row>
    <row r="93">
      <c r="A93" s="27" t="s">
        <v>169</v>
      </c>
      <c r="B93" s="66">
        <v>0.0</v>
      </c>
      <c r="C93" s="66">
        <v>8.0</v>
      </c>
      <c r="D93" s="66">
        <v>0.0</v>
      </c>
      <c r="E93" s="67">
        <v>0.0</v>
      </c>
      <c r="F93" s="66">
        <v>6.0</v>
      </c>
    </row>
    <row r="94">
      <c r="A94" s="27" t="s">
        <v>218</v>
      </c>
      <c r="B94" s="66">
        <v>0.0</v>
      </c>
      <c r="C94" s="66">
        <v>1.0</v>
      </c>
      <c r="D94" s="66">
        <v>0.0</v>
      </c>
      <c r="E94" s="67">
        <v>0.0</v>
      </c>
      <c r="F94" s="66">
        <v>1.0</v>
      </c>
    </row>
    <row r="95">
      <c r="A95" s="27" t="s">
        <v>220</v>
      </c>
      <c r="B95" s="66">
        <v>0.0</v>
      </c>
      <c r="C95" s="66">
        <v>0.0</v>
      </c>
      <c r="D95" s="66">
        <v>0.0</v>
      </c>
      <c r="E95" s="67">
        <v>0.0</v>
      </c>
      <c r="F95" s="66">
        <v>18.0</v>
      </c>
    </row>
    <row r="96">
      <c r="A96" s="27" t="s">
        <v>222</v>
      </c>
      <c r="B96" s="66">
        <v>0.0</v>
      </c>
      <c r="C96" s="66">
        <v>0.0</v>
      </c>
      <c r="D96" s="66">
        <v>0.0</v>
      </c>
      <c r="E96" s="67">
        <v>0.0</v>
      </c>
      <c r="F96" s="66">
        <v>8.0</v>
      </c>
    </row>
    <row r="97">
      <c r="A97" s="27" t="s">
        <v>152</v>
      </c>
      <c r="B97" s="66">
        <v>111.0</v>
      </c>
      <c r="C97" s="66">
        <v>8.0</v>
      </c>
      <c r="D97" s="66">
        <v>0.0</v>
      </c>
      <c r="E97" s="67">
        <v>0.0</v>
      </c>
      <c r="F97" s="66">
        <v>105.0</v>
      </c>
    </row>
    <row r="98">
      <c r="A98" s="27" t="s">
        <v>224</v>
      </c>
      <c r="B98" s="66">
        <v>0.0</v>
      </c>
      <c r="C98" s="66">
        <v>0.0</v>
      </c>
      <c r="D98" s="66">
        <v>0.0</v>
      </c>
      <c r="E98" s="67">
        <v>0.0</v>
      </c>
      <c r="F98" s="66">
        <v>1.0</v>
      </c>
    </row>
    <row r="99">
      <c r="A99" s="27" t="s">
        <v>228</v>
      </c>
      <c r="B99" s="66">
        <v>0.0</v>
      </c>
      <c r="C99" s="66">
        <v>0.0</v>
      </c>
      <c r="D99" s="66">
        <v>0.0</v>
      </c>
      <c r="E99" s="67">
        <v>0.0</v>
      </c>
      <c r="F99" s="66">
        <v>1.0</v>
      </c>
    </row>
    <row r="100">
      <c r="A100" s="27" t="s">
        <v>233</v>
      </c>
      <c r="B100" s="66">
        <v>0.0</v>
      </c>
      <c r="C100" s="66">
        <v>0.0</v>
      </c>
      <c r="D100" s="66">
        <v>0.0</v>
      </c>
      <c r="E100" s="67">
        <v>0.0</v>
      </c>
      <c r="F100" s="66">
        <v>5.0</v>
      </c>
    </row>
    <row r="101">
      <c r="A101" s="27"/>
      <c r="B101" s="66"/>
      <c r="C101" s="66"/>
      <c r="D101" s="66"/>
      <c r="E101" s="66"/>
      <c r="F101" s="66"/>
    </row>
    <row r="102">
      <c r="A102" s="27"/>
      <c r="B102" s="66"/>
      <c r="C102" s="66"/>
      <c r="D102" s="66"/>
      <c r="E102" s="66"/>
      <c r="F102" s="66"/>
    </row>
    <row r="103">
      <c r="A103" s="27"/>
      <c r="B103" s="66"/>
      <c r="C103" s="66"/>
      <c r="D103" s="66"/>
      <c r="E103" s="66"/>
      <c r="F103" s="66"/>
    </row>
    <row r="104">
      <c r="A104" s="27"/>
      <c r="B104" s="66"/>
      <c r="C104" s="66"/>
      <c r="D104" s="66"/>
      <c r="E104" s="66"/>
      <c r="F104" s="66"/>
    </row>
    <row r="105">
      <c r="A105" s="27"/>
      <c r="B105" s="66"/>
      <c r="C105" s="66"/>
      <c r="D105" s="66"/>
      <c r="E105" s="66"/>
      <c r="F105" s="66"/>
    </row>
    <row r="106">
      <c r="A106" s="27"/>
      <c r="B106" s="66"/>
      <c r="C106" s="66"/>
      <c r="D106" s="66"/>
      <c r="E106" s="66"/>
      <c r="F106" s="66"/>
    </row>
    <row r="107">
      <c r="A107" s="27"/>
      <c r="B107" s="66"/>
      <c r="C107" s="66"/>
      <c r="D107" s="66"/>
      <c r="E107" s="66"/>
      <c r="F107" s="66"/>
    </row>
    <row r="108">
      <c r="A108" s="27"/>
      <c r="B108" s="66"/>
      <c r="C108" s="66"/>
      <c r="D108" s="66"/>
      <c r="E108" s="66"/>
      <c r="F108" s="66"/>
    </row>
    <row r="109">
      <c r="A109" s="27"/>
      <c r="B109" s="66"/>
      <c r="C109" s="66"/>
      <c r="D109" s="66"/>
      <c r="E109" s="66"/>
      <c r="F109" s="66"/>
    </row>
    <row r="110">
      <c r="A110" s="27"/>
      <c r="B110" s="66"/>
      <c r="C110" s="66"/>
      <c r="D110" s="66"/>
      <c r="E110" s="66"/>
      <c r="F110" s="66"/>
    </row>
    <row r="111">
      <c r="A111" s="27"/>
      <c r="B111" s="66"/>
      <c r="C111" s="66"/>
      <c r="D111" s="66"/>
      <c r="E111" s="66"/>
      <c r="F111" s="66"/>
    </row>
    <row r="112">
      <c r="A112" s="27"/>
      <c r="B112" s="66"/>
      <c r="C112" s="66"/>
      <c r="D112" s="66"/>
      <c r="E112" s="66"/>
      <c r="F112" s="66"/>
    </row>
    <row r="113">
      <c r="A113" s="27"/>
      <c r="B113" s="66"/>
      <c r="C113" s="66"/>
      <c r="D113" s="66"/>
      <c r="E113" s="66"/>
      <c r="F113" s="66"/>
    </row>
    <row r="114">
      <c r="A114" s="27"/>
      <c r="B114" s="66"/>
      <c r="C114" s="66"/>
      <c r="D114" s="66"/>
      <c r="E114" s="66"/>
      <c r="F114" s="66"/>
    </row>
    <row r="115">
      <c r="A115" s="27"/>
      <c r="B115" s="66"/>
      <c r="C115" s="66"/>
      <c r="D115" s="66"/>
      <c r="E115" s="66"/>
      <c r="F115" s="66"/>
    </row>
    <row r="116">
      <c r="A116" s="27"/>
      <c r="B116" s="66"/>
      <c r="C116" s="66"/>
      <c r="D116" s="66"/>
      <c r="E116" s="66"/>
      <c r="F116" s="6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7.75"/>
    <col customWidth="1" min="7" max="7" width="25.13"/>
  </cols>
  <sheetData>
    <row r="1">
      <c r="A1" s="69" t="s">
        <v>640</v>
      </c>
      <c r="B1" s="69" t="s">
        <v>641</v>
      </c>
      <c r="C1" s="69" t="s">
        <v>642</v>
      </c>
      <c r="D1" s="70" t="s">
        <v>643</v>
      </c>
      <c r="E1" s="71" t="s">
        <v>644</v>
      </c>
      <c r="F1" s="72" t="s">
        <v>645</v>
      </c>
      <c r="G1" s="72" t="s">
        <v>646</v>
      </c>
      <c r="H1" s="73" t="s">
        <v>647</v>
      </c>
      <c r="I1" s="72" t="s">
        <v>648</v>
      </c>
      <c r="J1" s="74" t="s">
        <v>649</v>
      </c>
      <c r="K1" s="74" t="s">
        <v>650</v>
      </c>
      <c r="L1" s="74" t="s">
        <v>651</v>
      </c>
      <c r="M1" s="74" t="s">
        <v>652</v>
      </c>
      <c r="N1" s="74" t="s">
        <v>653</v>
      </c>
      <c r="O1" s="75" t="s">
        <v>654</v>
      </c>
      <c r="P1" s="76" t="s">
        <v>655</v>
      </c>
      <c r="Q1" s="77" t="s">
        <v>656</v>
      </c>
    </row>
    <row r="2">
      <c r="A2" s="78">
        <f t="shared" ref="A2:A24" si="1">SUM(N2:O2)/I2*100/100</f>
        <v>0.1189362477</v>
      </c>
      <c r="B2" s="78">
        <f t="shared" ref="B2:B24" si="2">M2/I2*100/100</f>
        <v>0.06120218579</v>
      </c>
      <c r="C2" s="78">
        <f t="shared" ref="C2:C24" si="3">L2/I2*100/100</f>
        <v>0.06895446266</v>
      </c>
      <c r="D2" s="78">
        <f t="shared" ref="D2:D24" si="4">SUM(A2:C2)</f>
        <v>0.2490928962</v>
      </c>
      <c r="E2" s="79">
        <f t="shared" ref="E2:E24" si="5">100%-D2</f>
        <v>0.7509071038</v>
      </c>
      <c r="F2" s="80" t="s">
        <v>657</v>
      </c>
      <c r="G2" s="81" t="s">
        <v>36</v>
      </c>
      <c r="H2" s="35">
        <v>549.0</v>
      </c>
      <c r="I2" s="82">
        <f t="shared" ref="I2:I3" si="6">H2/1.12</f>
        <v>490.1785714</v>
      </c>
      <c r="J2" s="83">
        <f t="shared" ref="J2:J3" si="7">K2+K2*0.12</f>
        <v>136.752</v>
      </c>
      <c r="K2" s="84">
        <f t="shared" ref="K2:K24" si="8">SUM(L2:O2)</f>
        <v>122.1</v>
      </c>
      <c r="L2" s="84">
        <v>33.8</v>
      </c>
      <c r="M2" s="84">
        <f>29+1</f>
        <v>30</v>
      </c>
      <c r="N2" s="84">
        <v>3.4</v>
      </c>
      <c r="O2" s="84">
        <f t="shared" ref="O2:O8" si="9">H2*0.1</f>
        <v>54.9</v>
      </c>
      <c r="P2" s="85">
        <v>5.0</v>
      </c>
      <c r="Q2" s="85">
        <f t="shared" ref="Q2:Q24" si="10">H2*0.15</f>
        <v>82.35</v>
      </c>
    </row>
    <row r="3">
      <c r="A3" s="78">
        <f t="shared" si="1"/>
        <v>0.1193386192</v>
      </c>
      <c r="B3" s="78">
        <f t="shared" si="2"/>
        <v>0.07483296214</v>
      </c>
      <c r="C3" s="78">
        <f t="shared" si="3"/>
        <v>0.07338619154</v>
      </c>
      <c r="D3" s="78">
        <f t="shared" si="4"/>
        <v>0.2675577728</v>
      </c>
      <c r="E3" s="79">
        <f t="shared" si="5"/>
        <v>0.7324422272</v>
      </c>
      <c r="F3" s="85" t="s">
        <v>658</v>
      </c>
      <c r="G3" s="35" t="s">
        <v>76</v>
      </c>
      <c r="H3" s="35">
        <v>449.0</v>
      </c>
      <c r="I3" s="82">
        <f t="shared" si="6"/>
        <v>400.8928571</v>
      </c>
      <c r="J3" s="83">
        <f t="shared" si="7"/>
        <v>120.13344</v>
      </c>
      <c r="K3" s="86">
        <f t="shared" si="8"/>
        <v>107.262</v>
      </c>
      <c r="L3" s="86">
        <v>29.42</v>
      </c>
      <c r="M3" s="84">
        <v>30.0</v>
      </c>
      <c r="N3" s="86">
        <f>L3*0.1</f>
        <v>2.942</v>
      </c>
      <c r="O3" s="84">
        <f t="shared" si="9"/>
        <v>44.9</v>
      </c>
      <c r="P3" s="85">
        <v>5.0</v>
      </c>
      <c r="Q3" s="85">
        <f t="shared" si="10"/>
        <v>67.35</v>
      </c>
    </row>
    <row r="4">
      <c r="A4" s="78">
        <f t="shared" si="1"/>
        <v>0.1225454545</v>
      </c>
      <c r="B4" s="78">
        <f t="shared" si="2"/>
        <v>0.07</v>
      </c>
      <c r="C4" s="78">
        <f t="shared" si="3"/>
        <v>0.04927272727</v>
      </c>
      <c r="D4" s="78">
        <f t="shared" si="4"/>
        <v>0.2418181818</v>
      </c>
      <c r="E4" s="79">
        <f t="shared" si="5"/>
        <v>0.7581818182</v>
      </c>
      <c r="F4" s="85" t="s">
        <v>659</v>
      </c>
      <c r="G4" s="35" t="s">
        <v>43</v>
      </c>
      <c r="H4" s="35">
        <v>649.0</v>
      </c>
      <c r="I4" s="82">
        <f t="shared" ref="I4:I6" si="11">H4/1.18</f>
        <v>550</v>
      </c>
      <c r="J4" s="83">
        <f t="shared" ref="J4:J8" si="12">K4+K4*0.18</f>
        <v>156.94</v>
      </c>
      <c r="K4" s="84">
        <f t="shared" si="8"/>
        <v>133</v>
      </c>
      <c r="L4" s="87">
        <v>27.1</v>
      </c>
      <c r="M4" s="87">
        <v>38.5</v>
      </c>
      <c r="N4" s="84">
        <v>2.5</v>
      </c>
      <c r="O4" s="84">
        <f t="shared" si="9"/>
        <v>64.9</v>
      </c>
      <c r="P4" s="85">
        <v>6.5</v>
      </c>
      <c r="Q4" s="85">
        <f t="shared" si="10"/>
        <v>97.35</v>
      </c>
    </row>
    <row r="5">
      <c r="A5" s="78">
        <f t="shared" si="1"/>
        <v>0.1241690768</v>
      </c>
      <c r="B5" s="78">
        <f t="shared" si="2"/>
        <v>0.03806451613</v>
      </c>
      <c r="C5" s="78">
        <f t="shared" si="3"/>
        <v>0.07236195773</v>
      </c>
      <c r="D5" s="78">
        <f t="shared" si="4"/>
        <v>0.2345955506</v>
      </c>
      <c r="E5" s="79">
        <f t="shared" si="5"/>
        <v>0.7654044494</v>
      </c>
      <c r="F5" s="85" t="s">
        <v>660</v>
      </c>
      <c r="G5" s="35" t="s">
        <v>64</v>
      </c>
      <c r="H5" s="35">
        <v>899.0</v>
      </c>
      <c r="I5" s="82">
        <f t="shared" si="11"/>
        <v>761.8644068</v>
      </c>
      <c r="J5" s="83">
        <f t="shared" si="12"/>
        <v>210.9014</v>
      </c>
      <c r="K5" s="84">
        <f t="shared" si="8"/>
        <v>178.73</v>
      </c>
      <c r="L5" s="87">
        <v>55.13</v>
      </c>
      <c r="M5" s="84">
        <f>29</f>
        <v>29</v>
      </c>
      <c r="N5" s="84">
        <v>4.7</v>
      </c>
      <c r="O5" s="84">
        <f t="shared" si="9"/>
        <v>89.9</v>
      </c>
      <c r="P5" s="85">
        <v>9.5</v>
      </c>
      <c r="Q5" s="85">
        <f t="shared" si="10"/>
        <v>134.85</v>
      </c>
    </row>
    <row r="6">
      <c r="A6" s="78">
        <f t="shared" si="1"/>
        <v>0.1227278798</v>
      </c>
      <c r="B6" s="78">
        <f t="shared" si="2"/>
        <v>0.05318864775</v>
      </c>
      <c r="C6" s="78">
        <f t="shared" si="3"/>
        <v>0.11721202</v>
      </c>
      <c r="D6" s="78">
        <f t="shared" si="4"/>
        <v>0.2931285476</v>
      </c>
      <c r="E6" s="79">
        <f t="shared" si="5"/>
        <v>0.7068714524</v>
      </c>
      <c r="F6" s="85" t="s">
        <v>661</v>
      </c>
      <c r="G6" s="35" t="s">
        <v>32</v>
      </c>
      <c r="H6" s="35">
        <v>599.0</v>
      </c>
      <c r="I6" s="82">
        <f t="shared" si="11"/>
        <v>507.6271186</v>
      </c>
      <c r="J6" s="83">
        <f t="shared" si="12"/>
        <v>175.584</v>
      </c>
      <c r="K6" s="84">
        <f t="shared" si="8"/>
        <v>148.8</v>
      </c>
      <c r="L6" s="84">
        <f>24+29+1+2.5+3</f>
        <v>59.5</v>
      </c>
      <c r="M6" s="84">
        <f>27</f>
        <v>27</v>
      </c>
      <c r="N6" s="84">
        <v>2.4</v>
      </c>
      <c r="O6" s="84">
        <f t="shared" si="9"/>
        <v>59.9</v>
      </c>
      <c r="P6" s="85">
        <v>6.5</v>
      </c>
      <c r="Q6" s="85">
        <f t="shared" si="10"/>
        <v>89.85</v>
      </c>
    </row>
    <row r="7">
      <c r="A7" s="78">
        <f t="shared" si="1"/>
        <v>0.1262182628</v>
      </c>
      <c r="B7" s="78">
        <f t="shared" si="2"/>
        <v>0.04240534521</v>
      </c>
      <c r="C7" s="78">
        <f t="shared" si="3"/>
        <v>0.148169265</v>
      </c>
      <c r="D7" s="78">
        <f t="shared" si="4"/>
        <v>0.3167928731</v>
      </c>
      <c r="E7" s="79">
        <f t="shared" si="5"/>
        <v>0.6832071269</v>
      </c>
      <c r="F7" s="85" t="s">
        <v>662</v>
      </c>
      <c r="G7" s="35" t="s">
        <v>113</v>
      </c>
      <c r="H7" s="35">
        <v>449.0</v>
      </c>
      <c r="I7" s="82">
        <f t="shared" ref="I7:I8" si="13">H7/1.12</f>
        <v>400.8928571</v>
      </c>
      <c r="J7" s="83">
        <f t="shared" si="12"/>
        <v>149.86</v>
      </c>
      <c r="K7" s="84">
        <f t="shared" si="8"/>
        <v>127</v>
      </c>
      <c r="L7" s="84">
        <f>57+2.4</f>
        <v>59.4</v>
      </c>
      <c r="M7" s="84">
        <v>17.0</v>
      </c>
      <c r="N7" s="84">
        <v>5.7</v>
      </c>
      <c r="O7" s="84">
        <f t="shared" si="9"/>
        <v>44.9</v>
      </c>
      <c r="P7" s="85">
        <v>5.0</v>
      </c>
      <c r="Q7" s="85">
        <f t="shared" si="10"/>
        <v>67.35</v>
      </c>
    </row>
    <row r="8">
      <c r="A8" s="78">
        <f t="shared" si="1"/>
        <v>0.1245691383</v>
      </c>
      <c r="B8" s="78">
        <f t="shared" si="2"/>
        <v>0.03815631263</v>
      </c>
      <c r="C8" s="78">
        <f t="shared" si="3"/>
        <v>0.1301803607</v>
      </c>
      <c r="D8" s="78">
        <f t="shared" si="4"/>
        <v>0.2929058116</v>
      </c>
      <c r="E8" s="79">
        <f t="shared" si="5"/>
        <v>0.7070941884</v>
      </c>
      <c r="F8" s="85" t="s">
        <v>663</v>
      </c>
      <c r="G8" s="35" t="s">
        <v>94</v>
      </c>
      <c r="H8" s="35">
        <v>499.0</v>
      </c>
      <c r="I8" s="82">
        <f t="shared" si="13"/>
        <v>445.5357143</v>
      </c>
      <c r="J8" s="83">
        <f t="shared" si="12"/>
        <v>153.99</v>
      </c>
      <c r="K8" s="84">
        <f t="shared" si="8"/>
        <v>130.5</v>
      </c>
      <c r="L8" s="84">
        <f>56+2</f>
        <v>58</v>
      </c>
      <c r="M8" s="84">
        <v>17.0</v>
      </c>
      <c r="N8" s="84">
        <v>5.6</v>
      </c>
      <c r="O8" s="84">
        <f t="shared" si="9"/>
        <v>49.9</v>
      </c>
      <c r="P8" s="85">
        <v>5.0</v>
      </c>
      <c r="Q8" s="85">
        <f t="shared" si="10"/>
        <v>74.85</v>
      </c>
    </row>
    <row r="9">
      <c r="A9" s="78">
        <f t="shared" si="1"/>
        <v>0.01596992481</v>
      </c>
      <c r="B9" s="78">
        <f t="shared" si="2"/>
        <v>0</v>
      </c>
      <c r="C9" s="78">
        <f t="shared" si="3"/>
        <v>0.1596992481</v>
      </c>
      <c r="D9" s="78">
        <f t="shared" si="4"/>
        <v>0.1756691729</v>
      </c>
      <c r="E9" s="79">
        <f t="shared" si="5"/>
        <v>0.8243308271</v>
      </c>
      <c r="F9" s="85" t="s">
        <v>664</v>
      </c>
      <c r="G9" s="35" t="s">
        <v>57</v>
      </c>
      <c r="H9" s="35">
        <v>399.0</v>
      </c>
      <c r="I9" s="82">
        <f t="shared" ref="I9:I15" si="14">H9/1.18</f>
        <v>338.1355932</v>
      </c>
      <c r="J9" s="88">
        <f>K9+K9</f>
        <v>118.8</v>
      </c>
      <c r="K9" s="84">
        <f t="shared" si="8"/>
        <v>59.4</v>
      </c>
      <c r="L9" s="84">
        <v>54.0</v>
      </c>
      <c r="M9" s="84">
        <v>0.0</v>
      </c>
      <c r="N9" s="84">
        <f>L9*0.1</f>
        <v>5.4</v>
      </c>
      <c r="O9" s="84">
        <v>0.0</v>
      </c>
      <c r="P9" s="85">
        <v>8.5</v>
      </c>
      <c r="Q9" s="85">
        <f t="shared" si="10"/>
        <v>59.85</v>
      </c>
    </row>
    <row r="10">
      <c r="A10" s="78">
        <f t="shared" si="1"/>
        <v>0.1182364729</v>
      </c>
      <c r="B10" s="78">
        <f t="shared" si="2"/>
        <v>0</v>
      </c>
      <c r="C10" s="78">
        <f t="shared" si="3"/>
        <v>0.1064128257</v>
      </c>
      <c r="D10" s="78">
        <f t="shared" si="4"/>
        <v>0.2246492986</v>
      </c>
      <c r="E10" s="79">
        <f t="shared" si="5"/>
        <v>0.7753507014</v>
      </c>
      <c r="F10" s="85" t="s">
        <v>665</v>
      </c>
      <c r="G10" s="35" t="s">
        <v>107</v>
      </c>
      <c r="H10" s="35">
        <v>499.0</v>
      </c>
      <c r="I10" s="82">
        <f t="shared" si="14"/>
        <v>422.8813559</v>
      </c>
      <c r="J10" s="83">
        <f t="shared" ref="J10:J19" si="15">K10+K10*0.18</f>
        <v>112.1</v>
      </c>
      <c r="K10" s="84">
        <f t="shared" si="8"/>
        <v>95</v>
      </c>
      <c r="L10" s="84">
        <v>45.0</v>
      </c>
      <c r="M10" s="84">
        <v>0.0</v>
      </c>
      <c r="N10" s="84">
        <v>0.0</v>
      </c>
      <c r="O10" s="84">
        <v>50.0</v>
      </c>
      <c r="P10" s="85">
        <v>8.5</v>
      </c>
      <c r="Q10" s="85">
        <f t="shared" si="10"/>
        <v>74.85</v>
      </c>
    </row>
    <row r="11">
      <c r="A11" s="78">
        <f t="shared" si="1"/>
        <v>0.1455215215</v>
      </c>
      <c r="B11" s="78">
        <f t="shared" si="2"/>
        <v>0.03425425425</v>
      </c>
      <c r="C11" s="78">
        <f t="shared" si="3"/>
        <v>0.2791131131</v>
      </c>
      <c r="D11" s="78">
        <f t="shared" si="4"/>
        <v>0.4588888889</v>
      </c>
      <c r="E11" s="79">
        <f t="shared" si="5"/>
        <v>0.5411111111</v>
      </c>
      <c r="F11" s="85" t="s">
        <v>666</v>
      </c>
      <c r="G11" s="35" t="s">
        <v>667</v>
      </c>
      <c r="H11" s="35">
        <v>999.0</v>
      </c>
      <c r="I11" s="82">
        <f t="shared" si="14"/>
        <v>846.6101695</v>
      </c>
      <c r="J11" s="83">
        <f t="shared" si="15"/>
        <v>458.43</v>
      </c>
      <c r="K11" s="84">
        <f t="shared" si="8"/>
        <v>388.5</v>
      </c>
      <c r="L11" s="84">
        <f>233.3+3</f>
        <v>236.3</v>
      </c>
      <c r="M11" s="84">
        <v>29.0</v>
      </c>
      <c r="N11" s="84">
        <v>23.3</v>
      </c>
      <c r="O11" s="84">
        <f t="shared" ref="O11:O12" si="16">H11*0.1</f>
        <v>99.9</v>
      </c>
      <c r="P11" s="85">
        <v>12.5</v>
      </c>
      <c r="Q11" s="85">
        <f t="shared" si="10"/>
        <v>149.85</v>
      </c>
    </row>
    <row r="12">
      <c r="A12" s="78">
        <f t="shared" si="1"/>
        <v>0.140457429</v>
      </c>
      <c r="B12" s="78">
        <f t="shared" si="2"/>
        <v>0.0590984975</v>
      </c>
      <c r="C12" s="78">
        <f t="shared" si="3"/>
        <v>0.2294991653</v>
      </c>
      <c r="D12" s="78">
        <f t="shared" si="4"/>
        <v>0.4290550918</v>
      </c>
      <c r="E12" s="79">
        <f t="shared" si="5"/>
        <v>0.5709449082</v>
      </c>
      <c r="F12" s="85" t="s">
        <v>668</v>
      </c>
      <c r="G12" s="35" t="s">
        <v>669</v>
      </c>
      <c r="H12" s="35">
        <v>599.0</v>
      </c>
      <c r="I12" s="82">
        <f t="shared" si="14"/>
        <v>507.6271186</v>
      </c>
      <c r="J12" s="83">
        <f t="shared" si="15"/>
        <v>257.004</v>
      </c>
      <c r="K12" s="84">
        <f t="shared" si="8"/>
        <v>217.8</v>
      </c>
      <c r="L12" s="84">
        <f>114.5+2</f>
        <v>116.5</v>
      </c>
      <c r="M12" s="84">
        <v>30.0</v>
      </c>
      <c r="N12" s="89">
        <v>11.4</v>
      </c>
      <c r="O12" s="84">
        <f t="shared" si="16"/>
        <v>59.9</v>
      </c>
      <c r="P12" s="85">
        <v>12.5</v>
      </c>
      <c r="Q12" s="85">
        <f t="shared" si="10"/>
        <v>89.85</v>
      </c>
    </row>
    <row r="13">
      <c r="A13" s="78">
        <f t="shared" si="1"/>
        <v>0.135498998</v>
      </c>
      <c r="B13" s="78">
        <f t="shared" si="2"/>
        <v>0.07567134269</v>
      </c>
      <c r="C13" s="78">
        <f t="shared" si="3"/>
        <v>0.1726252505</v>
      </c>
      <c r="D13" s="78">
        <f t="shared" si="4"/>
        <v>0.3837955912</v>
      </c>
      <c r="E13" s="79">
        <f t="shared" si="5"/>
        <v>0.6162044088</v>
      </c>
      <c r="F13" s="85" t="s">
        <v>670</v>
      </c>
      <c r="G13" s="35" t="s">
        <v>671</v>
      </c>
      <c r="H13" s="35">
        <v>499.0</v>
      </c>
      <c r="I13" s="82">
        <f t="shared" si="14"/>
        <v>422.8813559</v>
      </c>
      <c r="J13" s="83">
        <f t="shared" si="15"/>
        <v>191.514</v>
      </c>
      <c r="K13" s="84">
        <f t="shared" si="8"/>
        <v>162.3</v>
      </c>
      <c r="L13" s="84">
        <v>73.0</v>
      </c>
      <c r="M13" s="84">
        <v>32.0</v>
      </c>
      <c r="N13" s="84">
        <f>L13*0.1</f>
        <v>7.3</v>
      </c>
      <c r="O13" s="84">
        <v>50.0</v>
      </c>
      <c r="P13" s="85">
        <v>12.5</v>
      </c>
      <c r="Q13" s="85">
        <f t="shared" si="10"/>
        <v>74.85</v>
      </c>
    </row>
    <row r="14">
      <c r="A14" s="78">
        <f t="shared" si="1"/>
        <v>0.1416</v>
      </c>
      <c r="B14" s="78">
        <f t="shared" si="2"/>
        <v>0</v>
      </c>
      <c r="C14" s="78">
        <f t="shared" si="3"/>
        <v>0.2397263158</v>
      </c>
      <c r="D14" s="78">
        <f t="shared" si="4"/>
        <v>0.3813263158</v>
      </c>
      <c r="E14" s="79">
        <f t="shared" si="5"/>
        <v>0.6186736842</v>
      </c>
      <c r="F14" s="85" t="s">
        <v>672</v>
      </c>
      <c r="G14" s="35" t="s">
        <v>673</v>
      </c>
      <c r="H14" s="35">
        <v>190.0</v>
      </c>
      <c r="I14" s="82">
        <f t="shared" si="14"/>
        <v>161.0169492</v>
      </c>
      <c r="J14" s="83">
        <f t="shared" si="15"/>
        <v>72.452</v>
      </c>
      <c r="K14" s="84">
        <f t="shared" si="8"/>
        <v>61.4</v>
      </c>
      <c r="L14" s="84">
        <v>38.6</v>
      </c>
      <c r="M14" s="84">
        <v>0.0</v>
      </c>
      <c r="N14" s="89">
        <v>3.8</v>
      </c>
      <c r="O14" s="84">
        <f t="shared" ref="O14:O22" si="17">H14*0.1</f>
        <v>19</v>
      </c>
      <c r="P14" s="85">
        <v>8.5</v>
      </c>
      <c r="Q14" s="85">
        <f t="shared" si="10"/>
        <v>28.5</v>
      </c>
    </row>
    <row r="15">
      <c r="A15" s="78">
        <f t="shared" si="1"/>
        <v>0.1392703863</v>
      </c>
      <c r="B15" s="78">
        <f t="shared" si="2"/>
        <v>0</v>
      </c>
      <c r="C15" s="78">
        <f t="shared" si="3"/>
        <v>0.2211444921</v>
      </c>
      <c r="D15" s="78">
        <f t="shared" si="4"/>
        <v>0.3604148784</v>
      </c>
      <c r="E15" s="79">
        <f t="shared" si="5"/>
        <v>0.6395851216</v>
      </c>
      <c r="F15" s="85" t="s">
        <v>674</v>
      </c>
      <c r="G15" s="35" t="s">
        <v>675</v>
      </c>
      <c r="H15" s="35">
        <v>699.0</v>
      </c>
      <c r="I15" s="82">
        <f t="shared" si="14"/>
        <v>592.3728814</v>
      </c>
      <c r="J15" s="83">
        <f t="shared" si="15"/>
        <v>251.93</v>
      </c>
      <c r="K15" s="84">
        <f t="shared" si="8"/>
        <v>213.5</v>
      </c>
      <c r="L15" s="84">
        <f>126+5</f>
        <v>131</v>
      </c>
      <c r="M15" s="84">
        <v>0.0</v>
      </c>
      <c r="N15" s="89">
        <v>12.6</v>
      </c>
      <c r="O15" s="84">
        <f t="shared" si="17"/>
        <v>69.9</v>
      </c>
      <c r="P15" s="85">
        <v>8.5</v>
      </c>
      <c r="Q15" s="85">
        <f t="shared" si="10"/>
        <v>104.85</v>
      </c>
    </row>
    <row r="16">
      <c r="A16" s="78">
        <f t="shared" si="1"/>
        <v>0.1422077597</v>
      </c>
      <c r="B16" s="78">
        <f t="shared" si="2"/>
        <v>0</v>
      </c>
      <c r="C16" s="78">
        <f t="shared" si="3"/>
        <v>0.302077597</v>
      </c>
      <c r="D16" s="78">
        <f t="shared" si="4"/>
        <v>0.4442853567</v>
      </c>
      <c r="E16" s="79">
        <f t="shared" si="5"/>
        <v>0.5557146433</v>
      </c>
      <c r="F16" s="85" t="s">
        <v>676</v>
      </c>
      <c r="G16" s="35" t="s">
        <v>677</v>
      </c>
      <c r="H16" s="35">
        <v>799.0</v>
      </c>
      <c r="I16" s="82">
        <f>H16/1.12</f>
        <v>713.3928571</v>
      </c>
      <c r="J16" s="83">
        <f t="shared" si="15"/>
        <v>374.001</v>
      </c>
      <c r="K16" s="84">
        <f t="shared" si="8"/>
        <v>316.95</v>
      </c>
      <c r="L16" s="84">
        <v>215.5</v>
      </c>
      <c r="M16" s="84">
        <v>0.0</v>
      </c>
      <c r="N16" s="84">
        <f>L16*0.1</f>
        <v>21.55</v>
      </c>
      <c r="O16" s="84">
        <f t="shared" si="17"/>
        <v>79.9</v>
      </c>
      <c r="P16" s="85">
        <v>5.0</v>
      </c>
      <c r="Q16" s="85">
        <f t="shared" si="10"/>
        <v>119.85</v>
      </c>
    </row>
    <row r="17">
      <c r="A17" s="78">
        <f t="shared" si="1"/>
        <v>0.1310125313</v>
      </c>
      <c r="B17" s="78">
        <f t="shared" si="2"/>
        <v>0.02957393484</v>
      </c>
      <c r="C17" s="78">
        <f t="shared" si="3"/>
        <v>0.130716792</v>
      </c>
      <c r="D17" s="78">
        <f t="shared" si="4"/>
        <v>0.2913032581</v>
      </c>
      <c r="E17" s="79">
        <f t="shared" si="5"/>
        <v>0.7086967419</v>
      </c>
      <c r="F17" s="85" t="s">
        <v>678</v>
      </c>
      <c r="G17" s="35" t="s">
        <v>679</v>
      </c>
      <c r="H17" s="35">
        <v>399.0</v>
      </c>
      <c r="I17" s="82">
        <f t="shared" ref="I17:I24" si="18">H17/1.18</f>
        <v>338.1355932</v>
      </c>
      <c r="J17" s="83">
        <f t="shared" si="15"/>
        <v>116.23</v>
      </c>
      <c r="K17" s="84">
        <f t="shared" si="8"/>
        <v>98.5</v>
      </c>
      <c r="L17" s="84">
        <v>44.2</v>
      </c>
      <c r="M17" s="84">
        <v>10.0</v>
      </c>
      <c r="N17" s="84">
        <v>4.4</v>
      </c>
      <c r="O17" s="84">
        <f t="shared" si="17"/>
        <v>39.9</v>
      </c>
      <c r="P17" s="85">
        <v>5.0</v>
      </c>
      <c r="Q17" s="85">
        <f t="shared" si="10"/>
        <v>59.85</v>
      </c>
    </row>
    <row r="18">
      <c r="A18" s="78">
        <f t="shared" si="1"/>
        <v>0.1433218884</v>
      </c>
      <c r="B18" s="78">
        <f t="shared" si="2"/>
        <v>0.05402002861</v>
      </c>
      <c r="C18" s="78">
        <f t="shared" si="3"/>
        <v>0.1728640916</v>
      </c>
      <c r="D18" s="78">
        <f t="shared" si="4"/>
        <v>0.3702060086</v>
      </c>
      <c r="E18" s="79">
        <f t="shared" si="5"/>
        <v>0.6297939914</v>
      </c>
      <c r="F18" s="53"/>
      <c r="G18" s="35" t="s">
        <v>680</v>
      </c>
      <c r="H18" s="35">
        <v>699.0</v>
      </c>
      <c r="I18" s="82">
        <f t="shared" si="18"/>
        <v>592.3728814</v>
      </c>
      <c r="J18" s="83">
        <f t="shared" si="15"/>
        <v>258.774</v>
      </c>
      <c r="K18" s="84">
        <f t="shared" si="8"/>
        <v>219.3</v>
      </c>
      <c r="L18" s="84">
        <v>102.4</v>
      </c>
      <c r="M18" s="84">
        <v>32.0</v>
      </c>
      <c r="N18" s="84">
        <v>15.0</v>
      </c>
      <c r="O18" s="84">
        <f t="shared" si="17"/>
        <v>69.9</v>
      </c>
      <c r="P18" s="85">
        <v>12.5</v>
      </c>
      <c r="Q18" s="85">
        <f t="shared" si="10"/>
        <v>104.85</v>
      </c>
    </row>
    <row r="19">
      <c r="A19" s="78">
        <f t="shared" si="1"/>
        <v>0.1428048048</v>
      </c>
      <c r="B19" s="78">
        <f t="shared" si="2"/>
        <v>0</v>
      </c>
      <c r="C19" s="78">
        <f t="shared" si="3"/>
        <v>0.248048048</v>
      </c>
      <c r="D19" s="78">
        <f t="shared" si="4"/>
        <v>0.3908528529</v>
      </c>
      <c r="E19" s="79">
        <f t="shared" si="5"/>
        <v>0.6091471471</v>
      </c>
      <c r="F19" s="90" t="s">
        <v>681</v>
      </c>
      <c r="G19" s="35" t="s">
        <v>682</v>
      </c>
      <c r="H19" s="35">
        <v>999.0</v>
      </c>
      <c r="I19" s="82">
        <f t="shared" si="18"/>
        <v>846.6101695</v>
      </c>
      <c r="J19" s="83">
        <f t="shared" si="15"/>
        <v>390.462</v>
      </c>
      <c r="K19" s="84">
        <f t="shared" si="8"/>
        <v>330.9</v>
      </c>
      <c r="L19" s="84">
        <v>210.0</v>
      </c>
      <c r="M19" s="84">
        <v>0.0</v>
      </c>
      <c r="N19" s="84">
        <f>L19*0.1</f>
        <v>21</v>
      </c>
      <c r="O19" s="84">
        <f t="shared" si="17"/>
        <v>99.9</v>
      </c>
      <c r="P19" s="85">
        <v>12.5</v>
      </c>
      <c r="Q19" s="85">
        <f t="shared" si="10"/>
        <v>149.85</v>
      </c>
    </row>
    <row r="20">
      <c r="A20" s="78">
        <f t="shared" si="1"/>
        <v>0.1504553734</v>
      </c>
      <c r="B20" s="78">
        <f t="shared" si="2"/>
        <v>0.06233151184</v>
      </c>
      <c r="C20" s="78">
        <f t="shared" si="3"/>
        <v>0.1182149362</v>
      </c>
      <c r="D20" s="78">
        <f t="shared" si="4"/>
        <v>0.3310018215</v>
      </c>
      <c r="E20" s="79">
        <f t="shared" si="5"/>
        <v>0.6689981785</v>
      </c>
      <c r="F20" s="53"/>
      <c r="G20" s="35" t="s">
        <v>179</v>
      </c>
      <c r="H20" s="35">
        <v>549.0</v>
      </c>
      <c r="I20" s="82">
        <f t="shared" si="18"/>
        <v>465.2542373</v>
      </c>
      <c r="J20" s="83">
        <f>K20+K20*0.12</f>
        <v>172.48</v>
      </c>
      <c r="K20" s="84">
        <f t="shared" si="8"/>
        <v>154</v>
      </c>
      <c r="L20" s="84">
        <f>48+5+1+1</f>
        <v>55</v>
      </c>
      <c r="M20" s="91">
        <v>29.0</v>
      </c>
      <c r="N20" s="84">
        <v>15.1</v>
      </c>
      <c r="O20" s="84">
        <f t="shared" si="17"/>
        <v>54.9</v>
      </c>
      <c r="P20" s="85">
        <v>5.0</v>
      </c>
      <c r="Q20" s="85">
        <f t="shared" si="10"/>
        <v>82.35</v>
      </c>
    </row>
    <row r="21">
      <c r="A21" s="78">
        <f t="shared" si="1"/>
        <v>0.1307454545</v>
      </c>
      <c r="B21" s="78">
        <f t="shared" si="2"/>
        <v>0.05272727273</v>
      </c>
      <c r="C21" s="78">
        <f t="shared" si="3"/>
        <v>0.1274545455</v>
      </c>
      <c r="D21" s="78">
        <f t="shared" si="4"/>
        <v>0.3109272727</v>
      </c>
      <c r="E21" s="79">
        <f t="shared" si="5"/>
        <v>0.6890727273</v>
      </c>
      <c r="F21" s="92" t="s">
        <v>683</v>
      </c>
      <c r="G21" s="35" t="s">
        <v>684</v>
      </c>
      <c r="H21" s="35">
        <v>649.0</v>
      </c>
      <c r="I21" s="82">
        <f t="shared" si="18"/>
        <v>550</v>
      </c>
      <c r="J21" s="83">
        <f t="shared" ref="J21:J24" si="19">K21+K21*0.18</f>
        <v>201.7918</v>
      </c>
      <c r="K21" s="89">
        <f t="shared" si="8"/>
        <v>171.01</v>
      </c>
      <c r="L21" s="84">
        <v>70.1</v>
      </c>
      <c r="M21" s="89">
        <v>29.0</v>
      </c>
      <c r="N21" s="89">
        <f>L21*0.1</f>
        <v>7.01</v>
      </c>
      <c r="O21" s="89">
        <f t="shared" si="17"/>
        <v>64.9</v>
      </c>
      <c r="P21" s="85">
        <v>12.5</v>
      </c>
      <c r="Q21" s="85">
        <f t="shared" si="10"/>
        <v>97.35</v>
      </c>
    </row>
    <row r="22">
      <c r="A22" s="78">
        <f t="shared" si="1"/>
        <v>0.1350634038</v>
      </c>
      <c r="B22" s="78">
        <f t="shared" si="2"/>
        <v>0.03675194661</v>
      </c>
      <c r="C22" s="78">
        <f t="shared" si="3"/>
        <v>0.1771968854</v>
      </c>
      <c r="D22" s="78">
        <f t="shared" si="4"/>
        <v>0.3490122358</v>
      </c>
      <c r="E22" s="79">
        <f t="shared" si="5"/>
        <v>0.6509877642</v>
      </c>
      <c r="F22" s="92" t="s">
        <v>685</v>
      </c>
      <c r="G22" s="35" t="s">
        <v>686</v>
      </c>
      <c r="H22" s="35">
        <v>899.0</v>
      </c>
      <c r="I22" s="82">
        <f t="shared" si="18"/>
        <v>761.8644068</v>
      </c>
      <c r="J22" s="83">
        <f t="shared" si="19"/>
        <v>313.762</v>
      </c>
      <c r="K22" s="89">
        <f t="shared" si="8"/>
        <v>265.9</v>
      </c>
      <c r="L22" s="84">
        <v>135.0</v>
      </c>
      <c r="M22" s="89">
        <v>28.0</v>
      </c>
      <c r="N22" s="89">
        <v>13.0</v>
      </c>
      <c r="O22" s="89">
        <f t="shared" si="17"/>
        <v>89.9</v>
      </c>
      <c r="P22" s="85">
        <v>12.5</v>
      </c>
      <c r="Q22" s="85">
        <f t="shared" si="10"/>
        <v>134.85</v>
      </c>
    </row>
    <row r="23">
      <c r="A23" s="78">
        <f t="shared" si="1"/>
        <v>0.1332465878</v>
      </c>
      <c r="B23" s="78">
        <f t="shared" si="2"/>
        <v>0.03006369427</v>
      </c>
      <c r="C23" s="78">
        <f t="shared" si="3"/>
        <v>0.1524658781</v>
      </c>
      <c r="D23" s="78">
        <f t="shared" si="4"/>
        <v>0.3157761601</v>
      </c>
      <c r="E23" s="79">
        <f t="shared" si="5"/>
        <v>0.6842238399</v>
      </c>
      <c r="F23" s="90" t="s">
        <v>687</v>
      </c>
      <c r="G23" s="35" t="s">
        <v>688</v>
      </c>
      <c r="H23" s="85">
        <v>1099.0</v>
      </c>
      <c r="I23" s="82">
        <f t="shared" si="18"/>
        <v>931.3559322</v>
      </c>
      <c r="J23" s="93">
        <f t="shared" si="19"/>
        <v>347.038</v>
      </c>
      <c r="K23" s="89">
        <f t="shared" si="8"/>
        <v>294.1</v>
      </c>
      <c r="L23" s="89">
        <v>142.0</v>
      </c>
      <c r="M23" s="89">
        <v>28.0</v>
      </c>
      <c r="N23" s="89">
        <f t="shared" ref="N23:N24" si="20">L23*0.1</f>
        <v>14.2</v>
      </c>
      <c r="O23" s="89">
        <v>109.9</v>
      </c>
      <c r="P23" s="85">
        <v>12.5</v>
      </c>
      <c r="Q23" s="85">
        <f t="shared" si="10"/>
        <v>164.85</v>
      </c>
    </row>
    <row r="24">
      <c r="A24" s="78">
        <f t="shared" si="1"/>
        <v>0.1407832423</v>
      </c>
      <c r="B24" s="78">
        <f t="shared" si="2"/>
        <v>0</v>
      </c>
      <c r="C24" s="78">
        <f t="shared" si="3"/>
        <v>0.2278324226</v>
      </c>
      <c r="D24" s="78">
        <f t="shared" si="4"/>
        <v>0.3686156648</v>
      </c>
      <c r="E24" s="79">
        <f t="shared" si="5"/>
        <v>0.6313843352</v>
      </c>
      <c r="F24" s="90" t="s">
        <v>689</v>
      </c>
      <c r="G24" s="35" t="s">
        <v>690</v>
      </c>
      <c r="H24" s="85">
        <v>549.0</v>
      </c>
      <c r="I24" s="82">
        <f t="shared" si="18"/>
        <v>465.2542373</v>
      </c>
      <c r="J24" s="93">
        <f t="shared" si="19"/>
        <v>202.37</v>
      </c>
      <c r="K24" s="86">
        <f t="shared" si="8"/>
        <v>171.5</v>
      </c>
      <c r="L24" s="94">
        <v>106.0</v>
      </c>
      <c r="M24" s="89">
        <v>0.0</v>
      </c>
      <c r="N24" s="84">
        <f t="shared" si="20"/>
        <v>10.6</v>
      </c>
      <c r="O24" s="84">
        <f>H24*0.1</f>
        <v>54.9</v>
      </c>
      <c r="P24" s="85">
        <v>5.5</v>
      </c>
      <c r="Q24" s="85">
        <f t="shared" si="10"/>
        <v>82.35</v>
      </c>
    </row>
    <row r="25">
      <c r="A25" s="78">
        <v>0.141</v>
      </c>
      <c r="B25" s="78">
        <v>0.0</v>
      </c>
      <c r="C25" s="78">
        <v>0.228</v>
      </c>
      <c r="D25" s="78">
        <v>0.369</v>
      </c>
      <c r="E25" s="79">
        <v>0.631</v>
      </c>
      <c r="F25" s="90" t="s">
        <v>691</v>
      </c>
      <c r="G25" s="35" t="s">
        <v>692</v>
      </c>
      <c r="H25" s="85">
        <v>549.0</v>
      </c>
      <c r="I25" s="82">
        <v>465.0</v>
      </c>
      <c r="J25" s="93">
        <v>202.4</v>
      </c>
      <c r="K25" s="86">
        <v>171.5</v>
      </c>
      <c r="L25" s="94">
        <v>106.0</v>
      </c>
      <c r="M25" s="89">
        <v>0.0</v>
      </c>
      <c r="N25" s="84">
        <v>10.6</v>
      </c>
      <c r="O25" s="84">
        <v>54.9</v>
      </c>
      <c r="P25" s="85">
        <v>5.5</v>
      </c>
      <c r="Q25" s="85">
        <v>82.35</v>
      </c>
    </row>
    <row r="26">
      <c r="A26" s="78">
        <f t="shared" ref="A26:A36" si="21">SUM(N26:O26)/I26*100/100</f>
        <v>0.1321915367</v>
      </c>
      <c r="B26" s="78">
        <f t="shared" ref="B26:B36" si="22">M26/I26*100/100</f>
        <v>0.02102449889</v>
      </c>
      <c r="C26" s="78">
        <f t="shared" ref="C26:C36" si="23">L26/I26*100/100</f>
        <v>0.1419153675</v>
      </c>
      <c r="D26" s="78">
        <f t="shared" ref="D26:D36" si="24">SUM(A26:C26)</f>
        <v>0.2951314031</v>
      </c>
      <c r="E26" s="79">
        <f t="shared" ref="E26:E36" si="25">100%-D26</f>
        <v>0.7048685969</v>
      </c>
      <c r="F26" s="90" t="s">
        <v>693</v>
      </c>
      <c r="G26" s="35" t="s">
        <v>694</v>
      </c>
      <c r="H26" s="85">
        <v>449.0</v>
      </c>
      <c r="I26" s="82">
        <f t="shared" ref="I26:I36" si="26">H26/1.18</f>
        <v>380.5084746</v>
      </c>
      <c r="J26" s="93">
        <f t="shared" ref="J26:J36" si="27">K26+K26*0.18</f>
        <v>132.514</v>
      </c>
      <c r="K26" s="84">
        <f t="shared" ref="K26:K36" si="28">SUM(L26:O26)</f>
        <v>112.3</v>
      </c>
      <c r="L26" s="89">
        <v>54.0</v>
      </c>
      <c r="M26" s="89">
        <v>8.0</v>
      </c>
      <c r="N26" s="84">
        <f t="shared" ref="N26:N36" si="29">L26*0.1</f>
        <v>5.4</v>
      </c>
      <c r="O26" s="84">
        <f t="shared" ref="O26:O36" si="30">H26*0.1</f>
        <v>44.9</v>
      </c>
      <c r="P26" s="85">
        <v>5.5</v>
      </c>
      <c r="Q26" s="85">
        <f t="shared" ref="Q26:Q36" si="31">H26*0.15</f>
        <v>67.35</v>
      </c>
    </row>
    <row r="27">
      <c r="A27" s="78">
        <f t="shared" si="21"/>
        <v>0.118</v>
      </c>
      <c r="B27" s="78">
        <f t="shared" si="22"/>
        <v>0</v>
      </c>
      <c r="C27" s="78">
        <f t="shared" si="23"/>
        <v>0</v>
      </c>
      <c r="D27" s="78">
        <f t="shared" si="24"/>
        <v>0.118</v>
      </c>
      <c r="E27" s="79">
        <f t="shared" si="25"/>
        <v>0.882</v>
      </c>
      <c r="F27" s="65" t="s">
        <v>695</v>
      </c>
      <c r="G27" s="14" t="s">
        <v>696</v>
      </c>
      <c r="H27" s="95">
        <v>399.0</v>
      </c>
      <c r="I27" s="82">
        <f t="shared" si="26"/>
        <v>338.1355932</v>
      </c>
      <c r="J27" s="93">
        <f t="shared" si="27"/>
        <v>47.082</v>
      </c>
      <c r="K27" s="84">
        <f t="shared" si="28"/>
        <v>39.9</v>
      </c>
      <c r="N27" s="84">
        <f t="shared" si="29"/>
        <v>0</v>
      </c>
      <c r="O27" s="84">
        <f t="shared" si="30"/>
        <v>39.9</v>
      </c>
      <c r="P27" s="96"/>
      <c r="Q27" s="85">
        <f t="shared" si="31"/>
        <v>59.85</v>
      </c>
    </row>
    <row r="28">
      <c r="A28" s="78">
        <f t="shared" si="21"/>
        <v>0.118</v>
      </c>
      <c r="B28" s="78">
        <f t="shared" si="22"/>
        <v>0</v>
      </c>
      <c r="C28" s="78">
        <f t="shared" si="23"/>
        <v>0</v>
      </c>
      <c r="D28" s="78">
        <f t="shared" si="24"/>
        <v>0.118</v>
      </c>
      <c r="E28" s="79">
        <f t="shared" si="25"/>
        <v>0.882</v>
      </c>
      <c r="F28" s="65" t="s">
        <v>697</v>
      </c>
      <c r="G28" s="14" t="s">
        <v>698</v>
      </c>
      <c r="H28" s="95">
        <v>399.0</v>
      </c>
      <c r="I28" s="82">
        <f t="shared" si="26"/>
        <v>338.1355932</v>
      </c>
      <c r="J28" s="93">
        <f t="shared" si="27"/>
        <v>47.082</v>
      </c>
      <c r="K28" s="84">
        <f t="shared" si="28"/>
        <v>39.9</v>
      </c>
      <c r="N28" s="84">
        <f t="shared" si="29"/>
        <v>0</v>
      </c>
      <c r="O28" s="84">
        <f t="shared" si="30"/>
        <v>39.9</v>
      </c>
      <c r="P28" s="96"/>
      <c r="Q28" s="85">
        <f t="shared" si="31"/>
        <v>59.85</v>
      </c>
    </row>
    <row r="29">
      <c r="A29" s="78">
        <f t="shared" si="21"/>
        <v>0.1296888104</v>
      </c>
      <c r="B29" s="78">
        <f t="shared" si="22"/>
        <v>0.008339222615</v>
      </c>
      <c r="C29" s="78">
        <f t="shared" si="23"/>
        <v>0.1168881037</v>
      </c>
      <c r="D29" s="78">
        <f t="shared" si="24"/>
        <v>0.2549161366</v>
      </c>
      <c r="E29" s="79">
        <f t="shared" si="25"/>
        <v>0.7450838634</v>
      </c>
      <c r="F29" s="65" t="s">
        <v>699</v>
      </c>
      <c r="G29" s="53" t="s">
        <v>273</v>
      </c>
      <c r="H29" s="14">
        <v>849.0</v>
      </c>
      <c r="I29" s="82">
        <f t="shared" si="26"/>
        <v>719.4915254</v>
      </c>
      <c r="J29" s="93">
        <f t="shared" si="27"/>
        <v>216.4238</v>
      </c>
      <c r="K29" s="84">
        <f t="shared" si="28"/>
        <v>183.41</v>
      </c>
      <c r="L29" s="29">
        <v>84.1</v>
      </c>
      <c r="M29" s="29">
        <v>6.0</v>
      </c>
      <c r="N29" s="84">
        <f t="shared" si="29"/>
        <v>8.41</v>
      </c>
      <c r="O29" s="84">
        <f t="shared" si="30"/>
        <v>84.9</v>
      </c>
      <c r="P29" s="96"/>
      <c r="Q29" s="85">
        <f t="shared" si="31"/>
        <v>127.35</v>
      </c>
    </row>
    <row r="30">
      <c r="A30" s="78">
        <f t="shared" si="21"/>
        <v>0.118</v>
      </c>
      <c r="B30" s="78">
        <f t="shared" si="22"/>
        <v>0</v>
      </c>
      <c r="C30" s="78">
        <f t="shared" si="23"/>
        <v>0</v>
      </c>
      <c r="D30" s="78">
        <f t="shared" si="24"/>
        <v>0.118</v>
      </c>
      <c r="E30" s="79">
        <f t="shared" si="25"/>
        <v>0.882</v>
      </c>
      <c r="G30" s="53" t="s">
        <v>230</v>
      </c>
      <c r="H30" s="14">
        <v>749.0</v>
      </c>
      <c r="I30" s="82">
        <f t="shared" si="26"/>
        <v>634.7457627</v>
      </c>
      <c r="J30" s="93">
        <f t="shared" si="27"/>
        <v>88.382</v>
      </c>
      <c r="K30" s="84">
        <f t="shared" si="28"/>
        <v>74.9</v>
      </c>
      <c r="N30" s="84">
        <f t="shared" si="29"/>
        <v>0</v>
      </c>
      <c r="O30" s="84">
        <f t="shared" si="30"/>
        <v>74.9</v>
      </c>
      <c r="P30" s="96"/>
      <c r="Q30" s="85">
        <f t="shared" si="31"/>
        <v>112.35</v>
      </c>
    </row>
    <row r="31">
      <c r="A31" s="78">
        <f t="shared" si="21"/>
        <v>0.118</v>
      </c>
      <c r="B31" s="78">
        <f t="shared" si="22"/>
        <v>0</v>
      </c>
      <c r="C31" s="78">
        <f t="shared" si="23"/>
        <v>0</v>
      </c>
      <c r="D31" s="78">
        <f t="shared" si="24"/>
        <v>0.118</v>
      </c>
      <c r="E31" s="79">
        <f t="shared" si="25"/>
        <v>0.882</v>
      </c>
      <c r="F31" s="97" t="s">
        <v>700</v>
      </c>
      <c r="G31" s="53" t="s">
        <v>188</v>
      </c>
      <c r="H31" s="14">
        <v>3999.0</v>
      </c>
      <c r="I31" s="82">
        <f t="shared" si="26"/>
        <v>3388.983051</v>
      </c>
      <c r="J31" s="93">
        <f t="shared" si="27"/>
        <v>471.882</v>
      </c>
      <c r="K31" s="84">
        <f t="shared" si="28"/>
        <v>399.9</v>
      </c>
      <c r="N31" s="84">
        <f t="shared" si="29"/>
        <v>0</v>
      </c>
      <c r="O31" s="84">
        <f t="shared" si="30"/>
        <v>399.9</v>
      </c>
      <c r="P31" s="96"/>
      <c r="Q31" s="85">
        <f t="shared" si="31"/>
        <v>599.85</v>
      </c>
    </row>
    <row r="32">
      <c r="A32" s="78">
        <f t="shared" si="21"/>
        <v>0.118</v>
      </c>
      <c r="B32" s="78">
        <f t="shared" si="22"/>
        <v>0</v>
      </c>
      <c r="C32" s="78">
        <f t="shared" si="23"/>
        <v>0</v>
      </c>
      <c r="D32" s="78">
        <f t="shared" si="24"/>
        <v>0.118</v>
      </c>
      <c r="E32" s="79">
        <f t="shared" si="25"/>
        <v>0.882</v>
      </c>
      <c r="F32" s="97" t="s">
        <v>701</v>
      </c>
      <c r="G32" s="53" t="s">
        <v>189</v>
      </c>
      <c r="H32" s="85">
        <v>1995.0</v>
      </c>
      <c r="I32" s="82">
        <f t="shared" si="26"/>
        <v>1690.677966</v>
      </c>
      <c r="J32" s="93">
        <f t="shared" si="27"/>
        <v>235.41</v>
      </c>
      <c r="K32" s="84">
        <f t="shared" si="28"/>
        <v>199.5</v>
      </c>
      <c r="N32" s="84">
        <f t="shared" si="29"/>
        <v>0</v>
      </c>
      <c r="O32" s="84">
        <f t="shared" si="30"/>
        <v>199.5</v>
      </c>
      <c r="P32" s="96"/>
      <c r="Q32" s="85">
        <f t="shared" si="31"/>
        <v>299.25</v>
      </c>
    </row>
    <row r="33">
      <c r="A33" s="78">
        <f t="shared" si="21"/>
        <v>0.1331095159</v>
      </c>
      <c r="B33" s="78">
        <f t="shared" si="22"/>
        <v>0.03831552588</v>
      </c>
      <c r="C33" s="78">
        <f t="shared" si="23"/>
        <v>0.1510951586</v>
      </c>
      <c r="D33" s="78">
        <f t="shared" si="24"/>
        <v>0.3225202003</v>
      </c>
      <c r="E33" s="79">
        <f t="shared" si="25"/>
        <v>0.6774797997</v>
      </c>
      <c r="F33" s="85" t="s">
        <v>702</v>
      </c>
      <c r="G33" s="98" t="s">
        <v>703</v>
      </c>
      <c r="H33" s="97">
        <v>599.0</v>
      </c>
      <c r="I33" s="82">
        <f t="shared" si="26"/>
        <v>507.6271186</v>
      </c>
      <c r="J33" s="93">
        <f t="shared" si="27"/>
        <v>193.1896</v>
      </c>
      <c r="K33" s="84">
        <f t="shared" si="28"/>
        <v>163.72</v>
      </c>
      <c r="L33" s="29">
        <v>76.7</v>
      </c>
      <c r="M33" s="29">
        <v>19.45</v>
      </c>
      <c r="N33" s="84">
        <f t="shared" si="29"/>
        <v>7.67</v>
      </c>
      <c r="O33" s="84">
        <f t="shared" si="30"/>
        <v>59.9</v>
      </c>
      <c r="P33" s="97">
        <v>7.5</v>
      </c>
      <c r="Q33" s="85">
        <f t="shared" si="31"/>
        <v>89.85</v>
      </c>
    </row>
    <row r="34">
      <c r="A34" s="78">
        <f t="shared" si="21"/>
        <v>0.1255843072</v>
      </c>
      <c r="B34" s="78">
        <f t="shared" si="22"/>
        <v>0.03831552588</v>
      </c>
      <c r="C34" s="78">
        <f t="shared" si="23"/>
        <v>0.07584307179</v>
      </c>
      <c r="D34" s="78">
        <f t="shared" si="24"/>
        <v>0.2397429048</v>
      </c>
      <c r="E34" s="79">
        <f t="shared" si="25"/>
        <v>0.7602570952</v>
      </c>
      <c r="F34" s="85" t="s">
        <v>704</v>
      </c>
      <c r="G34" s="98" t="s">
        <v>705</v>
      </c>
      <c r="H34" s="97">
        <v>599.0</v>
      </c>
      <c r="I34" s="82">
        <f t="shared" si="26"/>
        <v>507.6271186</v>
      </c>
      <c r="J34" s="93">
        <f t="shared" si="27"/>
        <v>143.606</v>
      </c>
      <c r="K34" s="84">
        <f t="shared" si="28"/>
        <v>121.7</v>
      </c>
      <c r="L34" s="29">
        <v>38.5</v>
      </c>
      <c r="M34" s="29">
        <v>19.45</v>
      </c>
      <c r="N34" s="84">
        <f t="shared" si="29"/>
        <v>3.85</v>
      </c>
      <c r="O34" s="84">
        <f t="shared" si="30"/>
        <v>59.9</v>
      </c>
      <c r="P34" s="97">
        <v>7.5</v>
      </c>
      <c r="Q34" s="85">
        <f t="shared" si="31"/>
        <v>89.85</v>
      </c>
    </row>
    <row r="35">
      <c r="A35" s="78">
        <f t="shared" si="21"/>
        <v>0.128972621</v>
      </c>
      <c r="B35" s="78">
        <f t="shared" si="22"/>
        <v>0.03831552588</v>
      </c>
      <c r="C35" s="78">
        <f t="shared" si="23"/>
        <v>0.1097262104</v>
      </c>
      <c r="D35" s="78">
        <f t="shared" si="24"/>
        <v>0.2770143573</v>
      </c>
      <c r="E35" s="79">
        <f t="shared" si="25"/>
        <v>0.7229856427</v>
      </c>
      <c r="F35" s="85" t="s">
        <v>706</v>
      </c>
      <c r="G35" s="98" t="s">
        <v>707</v>
      </c>
      <c r="H35" s="97">
        <v>599.0</v>
      </c>
      <c r="I35" s="82">
        <f t="shared" si="26"/>
        <v>507.6271186</v>
      </c>
      <c r="J35" s="93">
        <f t="shared" si="27"/>
        <v>165.9316</v>
      </c>
      <c r="K35" s="84">
        <f t="shared" si="28"/>
        <v>140.62</v>
      </c>
      <c r="L35" s="29">
        <v>55.7</v>
      </c>
      <c r="M35" s="29">
        <v>19.45</v>
      </c>
      <c r="N35" s="84">
        <f t="shared" si="29"/>
        <v>5.57</v>
      </c>
      <c r="O35" s="84">
        <f t="shared" si="30"/>
        <v>59.9</v>
      </c>
      <c r="P35" s="97">
        <v>7.5</v>
      </c>
      <c r="Q35" s="85">
        <f t="shared" si="31"/>
        <v>89.85</v>
      </c>
    </row>
    <row r="36">
      <c r="A36" s="78">
        <f t="shared" si="21"/>
        <v>0.118</v>
      </c>
      <c r="B36" s="78">
        <f t="shared" si="22"/>
        <v>0</v>
      </c>
      <c r="C36" s="78">
        <f t="shared" si="23"/>
        <v>0</v>
      </c>
      <c r="D36" s="78">
        <f t="shared" si="24"/>
        <v>0.118</v>
      </c>
      <c r="E36" s="79">
        <f t="shared" si="25"/>
        <v>0.882</v>
      </c>
      <c r="F36" s="97" t="s">
        <v>708</v>
      </c>
      <c r="G36" s="65" t="s">
        <v>160</v>
      </c>
      <c r="H36" s="97">
        <v>134.0</v>
      </c>
      <c r="I36" s="82">
        <f t="shared" si="26"/>
        <v>113.559322</v>
      </c>
      <c r="J36" s="93">
        <f t="shared" si="27"/>
        <v>15.812</v>
      </c>
      <c r="K36" s="84">
        <f t="shared" si="28"/>
        <v>13.4</v>
      </c>
      <c r="N36" s="84">
        <f t="shared" si="29"/>
        <v>0</v>
      </c>
      <c r="O36" s="84">
        <f t="shared" si="30"/>
        <v>13.4</v>
      </c>
      <c r="P36" s="96"/>
      <c r="Q36" s="85">
        <f t="shared" si="31"/>
        <v>20.1</v>
      </c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  <col customWidth="1" min="2" max="2" width="14.25"/>
    <col customWidth="1" min="3" max="3" width="17.63"/>
    <col customWidth="1" min="4" max="4" width="13.63"/>
  </cols>
  <sheetData>
    <row r="1">
      <c r="A1" s="38" t="s">
        <v>709</v>
      </c>
      <c r="B1" s="95" t="s">
        <v>710</v>
      </c>
      <c r="C1" s="99" t="s">
        <v>711</v>
      </c>
      <c r="D1" s="100" t="s">
        <v>712</v>
      </c>
    </row>
    <row r="2">
      <c r="A2" s="101" t="s">
        <v>124</v>
      </c>
      <c r="B2" s="102">
        <v>93.0</v>
      </c>
      <c r="C2" s="95">
        <v>538.23</v>
      </c>
      <c r="D2" s="100">
        <f t="shared" ref="D2:D81" si="1">C2/B2</f>
        <v>5.787419355</v>
      </c>
    </row>
    <row r="3">
      <c r="A3" s="101" t="s">
        <v>130</v>
      </c>
      <c r="B3" s="102">
        <v>7.0</v>
      </c>
      <c r="C3" s="95">
        <v>145.05</v>
      </c>
      <c r="D3" s="100">
        <f t="shared" si="1"/>
        <v>20.72142857</v>
      </c>
    </row>
    <row r="4">
      <c r="A4" s="101" t="s">
        <v>140</v>
      </c>
      <c r="B4" s="102">
        <v>171.0</v>
      </c>
      <c r="C4" s="95">
        <v>146.97</v>
      </c>
      <c r="D4" s="100">
        <f t="shared" si="1"/>
        <v>0.8594736842</v>
      </c>
    </row>
    <row r="5">
      <c r="A5" s="27" t="s">
        <v>31</v>
      </c>
      <c r="B5" s="102">
        <v>487.0</v>
      </c>
      <c r="C5" s="95">
        <v>3980.68</v>
      </c>
      <c r="D5" s="100">
        <f t="shared" si="1"/>
        <v>8.173880903</v>
      </c>
    </row>
    <row r="6">
      <c r="A6" s="27" t="s">
        <v>35</v>
      </c>
      <c r="B6" s="102">
        <v>351.0</v>
      </c>
      <c r="C6" s="95">
        <v>4294.99</v>
      </c>
      <c r="D6" s="100">
        <f t="shared" si="1"/>
        <v>12.23643875</v>
      </c>
    </row>
    <row r="7">
      <c r="A7" s="101" t="s">
        <v>56</v>
      </c>
      <c r="B7" s="102">
        <v>71.0</v>
      </c>
      <c r="C7" s="95">
        <v>1260.76</v>
      </c>
      <c r="D7" s="100">
        <f t="shared" si="1"/>
        <v>17.7571831</v>
      </c>
    </row>
    <row r="8">
      <c r="A8" s="101" t="s">
        <v>160</v>
      </c>
      <c r="B8" s="102">
        <v>527.0</v>
      </c>
      <c r="C8" s="95">
        <v>814.62</v>
      </c>
      <c r="D8" s="100">
        <f t="shared" si="1"/>
        <v>1.545768501</v>
      </c>
    </row>
    <row r="9">
      <c r="A9" s="101" t="s">
        <v>101</v>
      </c>
      <c r="B9" s="102">
        <v>47.0</v>
      </c>
      <c r="C9" s="95">
        <v>1217.4</v>
      </c>
      <c r="D9" s="100">
        <f t="shared" si="1"/>
        <v>25.90212766</v>
      </c>
    </row>
    <row r="10">
      <c r="A10" s="101" t="s">
        <v>158</v>
      </c>
      <c r="B10" s="102">
        <v>12.0</v>
      </c>
      <c r="C10" s="95">
        <v>165.82</v>
      </c>
      <c r="D10" s="100">
        <f t="shared" si="1"/>
        <v>13.81833333</v>
      </c>
    </row>
    <row r="11">
      <c r="A11" s="101" t="s">
        <v>46</v>
      </c>
      <c r="B11" s="102">
        <v>486.0</v>
      </c>
      <c r="C11" s="95">
        <v>4682.51</v>
      </c>
      <c r="D11" s="100">
        <f t="shared" si="1"/>
        <v>9.634794239</v>
      </c>
    </row>
    <row r="12">
      <c r="A12" s="101" t="s">
        <v>106</v>
      </c>
      <c r="B12" s="102">
        <v>156.0</v>
      </c>
      <c r="C12" s="95">
        <v>2105.52</v>
      </c>
      <c r="D12" s="100">
        <f t="shared" si="1"/>
        <v>13.49692308</v>
      </c>
    </row>
    <row r="13">
      <c r="A13" s="101" t="s">
        <v>103</v>
      </c>
      <c r="B13" s="102">
        <v>180.0</v>
      </c>
      <c r="C13" s="95">
        <v>380.35</v>
      </c>
      <c r="D13" s="100">
        <f t="shared" si="1"/>
        <v>2.113055556</v>
      </c>
    </row>
    <row r="14">
      <c r="A14" s="101" t="s">
        <v>114</v>
      </c>
      <c r="B14" s="102">
        <v>98.0</v>
      </c>
      <c r="C14" s="95">
        <v>737.79</v>
      </c>
      <c r="D14" s="100">
        <f t="shared" si="1"/>
        <v>7.528469388</v>
      </c>
    </row>
    <row r="15">
      <c r="A15" s="101" t="s">
        <v>142</v>
      </c>
      <c r="B15" s="102">
        <v>173.0</v>
      </c>
      <c r="C15" s="95">
        <v>812.81</v>
      </c>
      <c r="D15" s="100">
        <f t="shared" si="1"/>
        <v>4.698323699</v>
      </c>
    </row>
    <row r="16">
      <c r="A16" s="101" t="s">
        <v>186</v>
      </c>
      <c r="B16" s="102">
        <v>6.0</v>
      </c>
      <c r="C16" s="95">
        <v>240.27</v>
      </c>
      <c r="D16" s="100">
        <f t="shared" si="1"/>
        <v>40.045</v>
      </c>
    </row>
    <row r="17">
      <c r="A17" s="101" t="s">
        <v>97</v>
      </c>
      <c r="B17" s="102">
        <v>60.0</v>
      </c>
      <c r="C17" s="95">
        <v>671.14</v>
      </c>
      <c r="D17" s="100">
        <f t="shared" si="1"/>
        <v>11.18566667</v>
      </c>
    </row>
    <row r="18">
      <c r="A18" s="101" t="s">
        <v>122</v>
      </c>
      <c r="B18" s="102">
        <v>84.0</v>
      </c>
      <c r="C18" s="95">
        <v>1351.97</v>
      </c>
      <c r="D18" s="100">
        <f t="shared" si="1"/>
        <v>16.09488095</v>
      </c>
    </row>
    <row r="19">
      <c r="A19" s="101" t="s">
        <v>87</v>
      </c>
      <c r="B19" s="102">
        <v>152.0</v>
      </c>
      <c r="C19" s="95">
        <v>937.85</v>
      </c>
      <c r="D19" s="100">
        <f t="shared" si="1"/>
        <v>6.170065789</v>
      </c>
    </row>
    <row r="20">
      <c r="A20" s="101" t="s">
        <v>144</v>
      </c>
      <c r="B20" s="102">
        <v>3.0</v>
      </c>
      <c r="C20" s="95">
        <v>180.99</v>
      </c>
      <c r="D20" s="100">
        <f t="shared" si="1"/>
        <v>60.33</v>
      </c>
    </row>
    <row r="21">
      <c r="A21" s="101" t="s">
        <v>28</v>
      </c>
      <c r="B21" s="102">
        <v>535.0</v>
      </c>
      <c r="C21" s="95">
        <v>9293.23</v>
      </c>
      <c r="D21" s="100">
        <f t="shared" si="1"/>
        <v>17.37052336</v>
      </c>
    </row>
    <row r="22">
      <c r="A22" s="101" t="s">
        <v>126</v>
      </c>
      <c r="B22" s="102">
        <v>14.0</v>
      </c>
      <c r="C22" s="95">
        <v>467.82</v>
      </c>
      <c r="D22" s="100">
        <f t="shared" si="1"/>
        <v>33.41571429</v>
      </c>
    </row>
    <row r="23">
      <c r="A23" s="101" t="s">
        <v>136</v>
      </c>
      <c r="B23" s="102">
        <v>24.0</v>
      </c>
      <c r="C23" s="95">
        <v>326.44</v>
      </c>
      <c r="D23" s="100">
        <f t="shared" si="1"/>
        <v>13.60166667</v>
      </c>
    </row>
    <row r="24">
      <c r="A24" s="101" t="s">
        <v>437</v>
      </c>
      <c r="B24" s="102">
        <v>40.0</v>
      </c>
      <c r="C24" s="95">
        <v>1487.44</v>
      </c>
      <c r="D24" s="100">
        <f t="shared" si="1"/>
        <v>37.186</v>
      </c>
    </row>
    <row r="25">
      <c r="A25" s="101" t="s">
        <v>44</v>
      </c>
      <c r="B25" s="102">
        <v>481.0</v>
      </c>
      <c r="C25" s="95">
        <v>4562.84</v>
      </c>
      <c r="D25" s="100">
        <f t="shared" si="1"/>
        <v>9.486153846</v>
      </c>
    </row>
    <row r="26">
      <c r="A26" s="101" t="s">
        <v>171</v>
      </c>
      <c r="B26" s="102">
        <v>1218.0</v>
      </c>
      <c r="C26" s="95">
        <v>71.91</v>
      </c>
      <c r="D26" s="100">
        <f t="shared" si="1"/>
        <v>0.05903940887</v>
      </c>
    </row>
    <row r="27">
      <c r="A27" s="101" t="s">
        <v>99</v>
      </c>
      <c r="B27" s="102">
        <v>41.0</v>
      </c>
      <c r="C27" s="95">
        <v>635.98</v>
      </c>
      <c r="D27" s="100">
        <f t="shared" si="1"/>
        <v>15.51170732</v>
      </c>
    </row>
    <row r="28">
      <c r="A28" s="101" t="s">
        <v>200</v>
      </c>
      <c r="B28" s="102">
        <v>12.0</v>
      </c>
      <c r="C28" s="95">
        <v>279.52</v>
      </c>
      <c r="D28" s="100">
        <f t="shared" si="1"/>
        <v>23.29333333</v>
      </c>
    </row>
    <row r="29">
      <c r="A29" s="101" t="s">
        <v>95</v>
      </c>
      <c r="B29" s="102">
        <v>194.0</v>
      </c>
      <c r="C29" s="95">
        <v>1113.47</v>
      </c>
      <c r="D29" s="100">
        <f t="shared" si="1"/>
        <v>5.739536082</v>
      </c>
    </row>
    <row r="30">
      <c r="A30" s="101" t="s">
        <v>69</v>
      </c>
      <c r="B30" s="102">
        <v>240.0</v>
      </c>
      <c r="C30" s="95">
        <v>1758.71</v>
      </c>
      <c r="D30" s="100">
        <f t="shared" si="1"/>
        <v>7.327958333</v>
      </c>
    </row>
    <row r="31">
      <c r="A31" s="27" t="s">
        <v>118</v>
      </c>
      <c r="B31" s="102">
        <v>76.0</v>
      </c>
      <c r="C31" s="95">
        <v>471.42</v>
      </c>
      <c r="D31" s="100">
        <f t="shared" si="1"/>
        <v>6.202894737</v>
      </c>
    </row>
    <row r="32">
      <c r="A32" s="101" t="s">
        <v>60</v>
      </c>
      <c r="B32" s="102">
        <v>327.0</v>
      </c>
      <c r="C32" s="95">
        <v>4193.37</v>
      </c>
      <c r="D32" s="100">
        <f t="shared" si="1"/>
        <v>12.82376147</v>
      </c>
    </row>
    <row r="33">
      <c r="A33" s="101" t="s">
        <v>150</v>
      </c>
      <c r="B33" s="102">
        <v>26.0</v>
      </c>
      <c r="C33" s="95">
        <v>494.65</v>
      </c>
      <c r="D33" s="100">
        <f t="shared" si="1"/>
        <v>19.025</v>
      </c>
    </row>
    <row r="34">
      <c r="A34" s="101" t="s">
        <v>37</v>
      </c>
      <c r="B34" s="102">
        <v>546.0</v>
      </c>
      <c r="C34" s="95">
        <v>3314.48</v>
      </c>
      <c r="D34" s="100">
        <f t="shared" si="1"/>
        <v>6.07047619</v>
      </c>
    </row>
    <row r="35">
      <c r="A35" s="101" t="s">
        <v>77</v>
      </c>
      <c r="B35" s="102">
        <v>249.0</v>
      </c>
      <c r="C35" s="95">
        <v>1236.97</v>
      </c>
      <c r="D35" s="100">
        <f t="shared" si="1"/>
        <v>4.967751004</v>
      </c>
    </row>
    <row r="36">
      <c r="A36" s="101" t="s">
        <v>65</v>
      </c>
      <c r="B36" s="102">
        <v>229.0</v>
      </c>
      <c r="C36" s="95">
        <v>2664.1</v>
      </c>
      <c r="D36" s="100">
        <f t="shared" si="1"/>
        <v>11.63362445</v>
      </c>
    </row>
    <row r="37">
      <c r="A37" s="101" t="s">
        <v>138</v>
      </c>
      <c r="B37" s="102">
        <v>15.0</v>
      </c>
      <c r="C37" s="95">
        <v>311.53</v>
      </c>
      <c r="D37" s="100">
        <f t="shared" si="1"/>
        <v>20.76866667</v>
      </c>
    </row>
    <row r="38">
      <c r="A38" s="101" t="s">
        <v>110</v>
      </c>
      <c r="B38" s="102">
        <v>40.0</v>
      </c>
      <c r="C38" s="95">
        <v>449.86</v>
      </c>
      <c r="D38" s="100">
        <f t="shared" si="1"/>
        <v>11.2465</v>
      </c>
    </row>
    <row r="39">
      <c r="A39" s="101" t="s">
        <v>167</v>
      </c>
      <c r="B39" s="102">
        <v>23.0</v>
      </c>
      <c r="C39" s="95">
        <v>186.25</v>
      </c>
      <c r="D39" s="100">
        <f t="shared" si="1"/>
        <v>8.097826087</v>
      </c>
    </row>
    <row r="40">
      <c r="A40" s="101" t="s">
        <v>116</v>
      </c>
      <c r="B40" s="102">
        <v>18.0</v>
      </c>
      <c r="C40" s="95">
        <v>227.3</v>
      </c>
      <c r="D40" s="100">
        <f t="shared" si="1"/>
        <v>12.62777778</v>
      </c>
    </row>
    <row r="41">
      <c r="A41" s="101" t="s">
        <v>58</v>
      </c>
      <c r="B41" s="102">
        <v>421.0</v>
      </c>
      <c r="C41" s="95">
        <v>1825.19</v>
      </c>
      <c r="D41" s="100">
        <f t="shared" si="1"/>
        <v>4.335368171</v>
      </c>
    </row>
    <row r="42">
      <c r="A42" s="101" t="s">
        <v>156</v>
      </c>
      <c r="B42" s="102">
        <v>5.0</v>
      </c>
      <c r="C42" s="95">
        <v>113.44</v>
      </c>
      <c r="D42" s="100">
        <f t="shared" si="1"/>
        <v>22.688</v>
      </c>
    </row>
    <row r="43">
      <c r="A43" s="101" t="s">
        <v>26</v>
      </c>
      <c r="B43" s="102">
        <v>1010.0</v>
      </c>
      <c r="C43" s="95">
        <v>11385.85</v>
      </c>
      <c r="D43" s="100">
        <f t="shared" si="1"/>
        <v>11.27311881</v>
      </c>
    </row>
    <row r="44">
      <c r="A44" s="101" t="s">
        <v>79</v>
      </c>
      <c r="B44" s="102">
        <v>149.0</v>
      </c>
      <c r="C44" s="95">
        <v>1281.7</v>
      </c>
      <c r="D44" s="100">
        <f t="shared" si="1"/>
        <v>8.602013423</v>
      </c>
    </row>
    <row r="45">
      <c r="A45" s="101" t="s">
        <v>134</v>
      </c>
      <c r="B45" s="102">
        <v>70.0</v>
      </c>
      <c r="C45" s="95">
        <v>1881.44</v>
      </c>
      <c r="D45" s="100">
        <f t="shared" si="1"/>
        <v>26.87771429</v>
      </c>
    </row>
    <row r="46">
      <c r="A46" s="101" t="s">
        <v>71</v>
      </c>
      <c r="B46" s="102">
        <v>30.0</v>
      </c>
      <c r="C46" s="95">
        <v>969.39</v>
      </c>
      <c r="D46" s="100">
        <f t="shared" si="1"/>
        <v>32.313</v>
      </c>
    </row>
    <row r="47">
      <c r="A47" s="101" t="s">
        <v>42</v>
      </c>
      <c r="B47" s="102">
        <v>393.0</v>
      </c>
      <c r="C47" s="95">
        <v>4639.55</v>
      </c>
      <c r="D47" s="100">
        <f t="shared" si="1"/>
        <v>11.80547074</v>
      </c>
    </row>
    <row r="48">
      <c r="A48" s="101" t="s">
        <v>128</v>
      </c>
      <c r="B48" s="102">
        <v>59.0</v>
      </c>
      <c r="C48" s="95">
        <v>828.31</v>
      </c>
      <c r="D48" s="100">
        <f t="shared" si="1"/>
        <v>14.03915254</v>
      </c>
    </row>
    <row r="49">
      <c r="A49" s="101" t="s">
        <v>713</v>
      </c>
      <c r="B49" s="102">
        <v>6043.0</v>
      </c>
      <c r="C49" s="95">
        <v>0.0</v>
      </c>
      <c r="D49" s="100">
        <f t="shared" si="1"/>
        <v>0</v>
      </c>
    </row>
    <row r="50">
      <c r="A50" s="101" t="s">
        <v>89</v>
      </c>
      <c r="B50" s="102">
        <v>31.0</v>
      </c>
      <c r="C50" s="95">
        <v>752.54</v>
      </c>
      <c r="D50" s="100">
        <f t="shared" si="1"/>
        <v>24.27548387</v>
      </c>
    </row>
    <row r="51">
      <c r="A51" s="101" t="s">
        <v>212</v>
      </c>
      <c r="B51" s="102">
        <v>5.0</v>
      </c>
      <c r="C51" s="95">
        <v>103.05</v>
      </c>
      <c r="D51" s="100">
        <f t="shared" si="1"/>
        <v>20.61</v>
      </c>
    </row>
    <row r="52">
      <c r="A52" s="101" t="s">
        <v>162</v>
      </c>
      <c r="B52" s="102">
        <v>22.0</v>
      </c>
      <c r="C52" s="95">
        <v>242.44</v>
      </c>
      <c r="D52" s="100">
        <f t="shared" si="1"/>
        <v>11.02</v>
      </c>
    </row>
    <row r="53">
      <c r="A53" s="101" t="s">
        <v>67</v>
      </c>
      <c r="B53" s="102">
        <v>64.0</v>
      </c>
      <c r="C53" s="95">
        <v>2335.66</v>
      </c>
      <c r="D53" s="100">
        <f t="shared" si="1"/>
        <v>36.4946875</v>
      </c>
    </row>
    <row r="54">
      <c r="A54" s="101" t="s">
        <v>40</v>
      </c>
      <c r="B54" s="102">
        <v>225.0</v>
      </c>
      <c r="C54" s="95">
        <v>6773.76</v>
      </c>
      <c r="D54" s="100">
        <f t="shared" si="1"/>
        <v>30.1056</v>
      </c>
    </row>
    <row r="55">
      <c r="A55" s="101" t="s">
        <v>268</v>
      </c>
      <c r="B55" s="102">
        <v>52.0</v>
      </c>
      <c r="C55" s="95">
        <v>1184.32</v>
      </c>
      <c r="D55" s="100">
        <f t="shared" si="1"/>
        <v>22.77538462</v>
      </c>
    </row>
    <row r="56">
      <c r="A56" s="101" t="s">
        <v>23</v>
      </c>
      <c r="B56" s="102">
        <v>882.0</v>
      </c>
      <c r="C56" s="95">
        <v>9800.04</v>
      </c>
      <c r="D56" s="100">
        <f t="shared" si="1"/>
        <v>11.11115646</v>
      </c>
    </row>
    <row r="57">
      <c r="A57" s="27" t="s">
        <v>48</v>
      </c>
      <c r="B57" s="102">
        <v>162.0</v>
      </c>
      <c r="C57" s="95">
        <v>3669.91</v>
      </c>
      <c r="D57" s="100">
        <f t="shared" si="1"/>
        <v>22.65376543</v>
      </c>
    </row>
    <row r="58">
      <c r="A58" s="27" t="s">
        <v>105</v>
      </c>
      <c r="B58" s="102">
        <v>10.0</v>
      </c>
      <c r="C58" s="95">
        <v>405.18</v>
      </c>
      <c r="D58" s="100">
        <f t="shared" si="1"/>
        <v>40.518</v>
      </c>
    </row>
    <row r="59">
      <c r="A59" s="27" t="s">
        <v>54</v>
      </c>
      <c r="B59" s="102">
        <v>114.0</v>
      </c>
      <c r="C59" s="95">
        <v>3601.52</v>
      </c>
      <c r="D59" s="100">
        <f t="shared" si="1"/>
        <v>31.5922807</v>
      </c>
    </row>
    <row r="60">
      <c r="A60" s="101" t="s">
        <v>52</v>
      </c>
      <c r="B60" s="102">
        <v>233.0</v>
      </c>
      <c r="C60" s="95">
        <v>7609.65</v>
      </c>
      <c r="D60" s="100">
        <f t="shared" si="1"/>
        <v>32.65944206</v>
      </c>
    </row>
    <row r="61">
      <c r="A61" s="101" t="s">
        <v>33</v>
      </c>
      <c r="B61" s="102">
        <v>643.0</v>
      </c>
      <c r="C61" s="95">
        <v>4196.28</v>
      </c>
      <c r="D61" s="100">
        <f t="shared" si="1"/>
        <v>6.526096423</v>
      </c>
    </row>
    <row r="62">
      <c r="A62" s="101" t="s">
        <v>639</v>
      </c>
      <c r="B62" s="102">
        <v>224.0</v>
      </c>
      <c r="C62" s="95">
        <v>0.0</v>
      </c>
      <c r="D62" s="100">
        <f t="shared" si="1"/>
        <v>0</v>
      </c>
    </row>
    <row r="63">
      <c r="A63" s="101" t="s">
        <v>112</v>
      </c>
      <c r="B63" s="102">
        <v>11.0</v>
      </c>
      <c r="C63" s="95">
        <v>99.53</v>
      </c>
      <c r="D63" s="100">
        <f t="shared" si="1"/>
        <v>9.048181818</v>
      </c>
    </row>
    <row r="64">
      <c r="A64" s="101" t="s">
        <v>62</v>
      </c>
      <c r="B64" s="102">
        <v>479.0</v>
      </c>
      <c r="C64" s="95">
        <v>3430.62</v>
      </c>
      <c r="D64" s="100">
        <f t="shared" si="1"/>
        <v>7.162045929</v>
      </c>
    </row>
    <row r="65">
      <c r="A65" s="101" t="s">
        <v>132</v>
      </c>
      <c r="B65" s="102">
        <v>26.0</v>
      </c>
      <c r="C65" s="95">
        <v>387.22</v>
      </c>
      <c r="D65" s="100">
        <f t="shared" si="1"/>
        <v>14.89307692</v>
      </c>
    </row>
    <row r="66">
      <c r="A66" s="101" t="s">
        <v>152</v>
      </c>
      <c r="B66" s="102">
        <v>3.0</v>
      </c>
      <c r="C66" s="95">
        <v>82.93</v>
      </c>
      <c r="D66" s="100">
        <f t="shared" si="1"/>
        <v>27.64333333</v>
      </c>
    </row>
    <row r="67">
      <c r="A67" s="101" t="s">
        <v>120</v>
      </c>
      <c r="B67" s="102">
        <v>56.0</v>
      </c>
      <c r="C67" s="95">
        <v>757.72</v>
      </c>
      <c r="D67" s="100">
        <f t="shared" si="1"/>
        <v>13.53071429</v>
      </c>
    </row>
    <row r="68">
      <c r="A68" s="27" t="s">
        <v>108</v>
      </c>
      <c r="B68" s="102">
        <v>143.0</v>
      </c>
      <c r="C68" s="95">
        <v>1158.69</v>
      </c>
      <c r="D68" s="100">
        <f t="shared" si="1"/>
        <v>8.102727273</v>
      </c>
    </row>
    <row r="69">
      <c r="A69" s="27" t="s">
        <v>50</v>
      </c>
      <c r="B69" s="102">
        <v>171.0</v>
      </c>
      <c r="C69" s="95">
        <v>2151.49</v>
      </c>
      <c r="D69" s="100">
        <f t="shared" si="1"/>
        <v>12.58181287</v>
      </c>
    </row>
    <row r="70">
      <c r="A70" s="27" t="s">
        <v>75</v>
      </c>
      <c r="B70" s="102">
        <v>99.0</v>
      </c>
      <c r="C70" s="95">
        <v>2867.68</v>
      </c>
      <c r="D70" s="100">
        <f t="shared" si="1"/>
        <v>28.96646465</v>
      </c>
    </row>
    <row r="71">
      <c r="A71" s="101" t="s">
        <v>270</v>
      </c>
      <c r="B71" s="102">
        <v>53.0</v>
      </c>
      <c r="C71" s="95">
        <v>928.92</v>
      </c>
      <c r="D71" s="100">
        <f t="shared" si="1"/>
        <v>17.52679245</v>
      </c>
    </row>
    <row r="72">
      <c r="A72" s="101" t="s">
        <v>226</v>
      </c>
      <c r="B72" s="102">
        <v>27.0</v>
      </c>
      <c r="C72" s="95">
        <v>647.6</v>
      </c>
      <c r="D72" s="100">
        <f t="shared" si="1"/>
        <v>23.98518519</v>
      </c>
    </row>
    <row r="73">
      <c r="A73" s="101" t="s">
        <v>81</v>
      </c>
      <c r="B73" s="102">
        <v>229.0</v>
      </c>
      <c r="C73" s="95">
        <v>3459.23</v>
      </c>
      <c r="D73" s="100">
        <f t="shared" si="1"/>
        <v>15.10580786</v>
      </c>
    </row>
    <row r="74">
      <c r="A74" s="101" t="s">
        <v>165</v>
      </c>
      <c r="B74" s="102">
        <v>41.0</v>
      </c>
      <c r="C74" s="95">
        <v>37.69</v>
      </c>
      <c r="D74" s="100">
        <f t="shared" si="1"/>
        <v>0.9192682927</v>
      </c>
    </row>
    <row r="75">
      <c r="A75" s="101" t="s">
        <v>173</v>
      </c>
      <c r="B75" s="102">
        <v>6.0</v>
      </c>
      <c r="C75" s="95">
        <v>44.46</v>
      </c>
      <c r="D75" s="100">
        <f t="shared" si="1"/>
        <v>7.41</v>
      </c>
    </row>
    <row r="76">
      <c r="A76" s="101" t="s">
        <v>230</v>
      </c>
      <c r="B76" s="102">
        <v>11.0</v>
      </c>
      <c r="C76" s="95">
        <v>150.7</v>
      </c>
      <c r="D76" s="100">
        <f t="shared" si="1"/>
        <v>13.7</v>
      </c>
    </row>
    <row r="77">
      <c r="A77" s="101" t="s">
        <v>73</v>
      </c>
      <c r="B77" s="102">
        <v>247.0</v>
      </c>
      <c r="C77" s="95">
        <v>2521.33</v>
      </c>
      <c r="D77" s="100">
        <f t="shared" si="1"/>
        <v>10.20781377</v>
      </c>
    </row>
    <row r="78">
      <c r="A78" s="101" t="s">
        <v>83</v>
      </c>
      <c r="B78" s="102">
        <v>77.0</v>
      </c>
      <c r="C78" s="95">
        <v>1949.57</v>
      </c>
      <c r="D78" s="100">
        <f t="shared" si="1"/>
        <v>25.31909091</v>
      </c>
    </row>
    <row r="79">
      <c r="A79" s="101" t="s">
        <v>232</v>
      </c>
      <c r="B79" s="102">
        <v>6.0</v>
      </c>
      <c r="C79" s="95">
        <v>23.41</v>
      </c>
      <c r="D79" s="100">
        <f t="shared" si="1"/>
        <v>3.901666667</v>
      </c>
    </row>
    <row r="80">
      <c r="A80" s="101" t="s">
        <v>93</v>
      </c>
      <c r="B80" s="102">
        <v>24.0</v>
      </c>
      <c r="C80" s="95">
        <v>410.82</v>
      </c>
      <c r="D80" s="100">
        <f t="shared" si="1"/>
        <v>17.1175</v>
      </c>
    </row>
    <row r="81">
      <c r="A81" s="101" t="s">
        <v>85</v>
      </c>
      <c r="B81" s="102">
        <v>53.0</v>
      </c>
      <c r="C81" s="11">
        <v>848.29</v>
      </c>
      <c r="D81" s="100">
        <f t="shared" si="1"/>
        <v>16.0054717</v>
      </c>
    </row>
  </sheetData>
  <drawing r:id="rId1"/>
</worksheet>
</file>