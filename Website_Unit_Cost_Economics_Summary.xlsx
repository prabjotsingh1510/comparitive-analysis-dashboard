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7B6FCC84-81C6-49E5-A528-3F60CE735E99}" xr6:coauthVersionLast="47" xr6:coauthVersionMax="47" xr10:uidLastSave="{00000000-0000-0000-0000-000000000000}"/>
  <bookViews>
    <workbookView xWindow="-110" yWindow="-110" windowWidth="19420" windowHeight="10300" tabRatio="500" activeTab="3" xr2:uid="{00000000-000D-0000-FFFF-FFFF00000000}"/>
  </bookViews>
  <sheets>
    <sheet name="Jan-Mar Unit cost Economic" sheetId="1" r:id="rId1"/>
    <sheet name="April-June Unit Cost Ecomomic" sheetId="2" r:id="rId2"/>
    <sheet name="Jan-Mar Summary" sheetId="3" r:id="rId3"/>
    <sheet name="Apr-Jun Summary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75" i="4" l="1"/>
  <c r="E75" i="4"/>
  <c r="D75" i="4"/>
  <c r="C75" i="4"/>
  <c r="B75" i="4"/>
  <c r="A75" i="4"/>
  <c r="G74" i="4"/>
  <c r="E74" i="4"/>
  <c r="F74" i="4" s="1"/>
  <c r="D74" i="4"/>
  <c r="C74" i="4"/>
  <c r="B74" i="4"/>
  <c r="A74" i="4"/>
  <c r="G73" i="4"/>
  <c r="E73" i="4"/>
  <c r="H73" i="4" s="1"/>
  <c r="I73" i="4" s="1"/>
  <c r="D73" i="4"/>
  <c r="C73" i="4"/>
  <c r="B73" i="4"/>
  <c r="A73" i="4"/>
  <c r="G72" i="4"/>
  <c r="E72" i="4"/>
  <c r="H72" i="4" s="1"/>
  <c r="D72" i="4"/>
  <c r="C72" i="4"/>
  <c r="B72" i="4"/>
  <c r="A72" i="4"/>
  <c r="G71" i="4"/>
  <c r="E71" i="4"/>
  <c r="D71" i="4"/>
  <c r="C71" i="4"/>
  <c r="B71" i="4"/>
  <c r="A71" i="4"/>
  <c r="G70" i="4"/>
  <c r="E70" i="4"/>
  <c r="D70" i="4"/>
  <c r="C70" i="4"/>
  <c r="B70" i="4"/>
  <c r="A70" i="4"/>
  <c r="G69" i="4"/>
  <c r="E69" i="4"/>
  <c r="D69" i="4"/>
  <c r="C69" i="4"/>
  <c r="B69" i="4"/>
  <c r="A69" i="4"/>
  <c r="G68" i="4"/>
  <c r="E68" i="4"/>
  <c r="F68" i="4" s="1"/>
  <c r="D68" i="4"/>
  <c r="C68" i="4"/>
  <c r="B68" i="4"/>
  <c r="A68" i="4"/>
  <c r="G67" i="4"/>
  <c r="E67" i="4"/>
  <c r="D67" i="4"/>
  <c r="C67" i="4"/>
  <c r="B67" i="4"/>
  <c r="A67" i="4"/>
  <c r="G66" i="4"/>
  <c r="E66" i="4"/>
  <c r="D66" i="4"/>
  <c r="C66" i="4"/>
  <c r="B66" i="4"/>
  <c r="A66" i="4"/>
  <c r="G65" i="4"/>
  <c r="E65" i="4"/>
  <c r="H65" i="4" s="1"/>
  <c r="D65" i="4"/>
  <c r="C65" i="4"/>
  <c r="B65" i="4"/>
  <c r="A65" i="4"/>
  <c r="G64" i="4"/>
  <c r="E64" i="4"/>
  <c r="D64" i="4"/>
  <c r="C64" i="4"/>
  <c r="B64" i="4"/>
  <c r="A64" i="4"/>
  <c r="G63" i="4"/>
  <c r="E63" i="4"/>
  <c r="D63" i="4"/>
  <c r="C63" i="4"/>
  <c r="B63" i="4"/>
  <c r="A63" i="4"/>
  <c r="G62" i="4"/>
  <c r="E62" i="4"/>
  <c r="D62" i="4"/>
  <c r="C62" i="4"/>
  <c r="B62" i="4"/>
  <c r="A62" i="4"/>
  <c r="G61" i="4"/>
  <c r="E61" i="4"/>
  <c r="H61" i="4" s="1"/>
  <c r="I61" i="4" s="1"/>
  <c r="D61" i="4"/>
  <c r="C61" i="4"/>
  <c r="B61" i="4"/>
  <c r="A61" i="4"/>
  <c r="G60" i="4"/>
  <c r="E60" i="4"/>
  <c r="D60" i="4"/>
  <c r="C60" i="4"/>
  <c r="B60" i="4"/>
  <c r="A60" i="4"/>
  <c r="G59" i="4"/>
  <c r="E59" i="4"/>
  <c r="D59" i="4"/>
  <c r="C59" i="4"/>
  <c r="B59" i="4"/>
  <c r="A59" i="4"/>
  <c r="G58" i="4"/>
  <c r="E58" i="4"/>
  <c r="D58" i="4"/>
  <c r="C58" i="4"/>
  <c r="B58" i="4"/>
  <c r="A58" i="4"/>
  <c r="G57" i="4"/>
  <c r="E57" i="4"/>
  <c r="H57" i="4" s="1"/>
  <c r="D57" i="4"/>
  <c r="C57" i="4"/>
  <c r="B57" i="4"/>
  <c r="A57" i="4"/>
  <c r="G56" i="4"/>
  <c r="E56" i="4"/>
  <c r="H56" i="4" s="1"/>
  <c r="D56" i="4"/>
  <c r="C56" i="4"/>
  <c r="B56" i="4"/>
  <c r="A56" i="4"/>
  <c r="G55" i="4"/>
  <c r="E55" i="4"/>
  <c r="D55" i="4"/>
  <c r="C55" i="4"/>
  <c r="B55" i="4"/>
  <c r="A55" i="4"/>
  <c r="G54" i="4"/>
  <c r="E54" i="4"/>
  <c r="D54" i="4"/>
  <c r="C54" i="4"/>
  <c r="B54" i="4"/>
  <c r="A54" i="4"/>
  <c r="G53" i="4"/>
  <c r="E53" i="4"/>
  <c r="D53" i="4"/>
  <c r="C53" i="4"/>
  <c r="B53" i="4"/>
  <c r="A53" i="4"/>
  <c r="G52" i="4"/>
  <c r="E52" i="4"/>
  <c r="D52" i="4"/>
  <c r="C52" i="4"/>
  <c r="B52" i="4"/>
  <c r="A52" i="4"/>
  <c r="G51" i="4"/>
  <c r="E51" i="4"/>
  <c r="D51" i="4"/>
  <c r="C51" i="4"/>
  <c r="B51" i="4"/>
  <c r="A51" i="4"/>
  <c r="G50" i="4"/>
  <c r="E50" i="4"/>
  <c r="D50" i="4"/>
  <c r="C50" i="4"/>
  <c r="B50" i="4"/>
  <c r="A50" i="4"/>
  <c r="G49" i="4"/>
  <c r="E49" i="4"/>
  <c r="H49" i="4" s="1"/>
  <c r="I49" i="4" s="1"/>
  <c r="D49" i="4"/>
  <c r="C49" i="4"/>
  <c r="B49" i="4"/>
  <c r="A49" i="4"/>
  <c r="G48" i="4"/>
  <c r="E48" i="4"/>
  <c r="D48" i="4"/>
  <c r="C48" i="4"/>
  <c r="B48" i="4"/>
  <c r="A48" i="4"/>
  <c r="G47" i="4"/>
  <c r="E47" i="4"/>
  <c r="D47" i="4"/>
  <c r="C47" i="4"/>
  <c r="B47" i="4"/>
  <c r="A47" i="4"/>
  <c r="G46" i="4"/>
  <c r="E46" i="4"/>
  <c r="H46" i="4" s="1"/>
  <c r="D46" i="4"/>
  <c r="C46" i="4"/>
  <c r="B46" i="4"/>
  <c r="A46" i="4"/>
  <c r="G45" i="4"/>
  <c r="E45" i="4"/>
  <c r="D45" i="4"/>
  <c r="C45" i="4"/>
  <c r="B45" i="4"/>
  <c r="A45" i="4"/>
  <c r="G44" i="4"/>
  <c r="E44" i="4"/>
  <c r="D44" i="4"/>
  <c r="C44" i="4"/>
  <c r="B44" i="4"/>
  <c r="A44" i="4"/>
  <c r="G43" i="4"/>
  <c r="E43" i="4"/>
  <c r="H43" i="4" s="1"/>
  <c r="D43" i="4"/>
  <c r="C43" i="4"/>
  <c r="B43" i="4"/>
  <c r="A43" i="4"/>
  <c r="G42" i="4"/>
  <c r="E42" i="4"/>
  <c r="H42" i="4" s="1"/>
  <c r="I42" i="4" s="1"/>
  <c r="D42" i="4"/>
  <c r="C42" i="4"/>
  <c r="B42" i="4"/>
  <c r="A42" i="4"/>
  <c r="G41" i="4"/>
  <c r="E41" i="4"/>
  <c r="H41" i="4" s="1"/>
  <c r="I41" i="4" s="1"/>
  <c r="D41" i="4"/>
  <c r="C41" i="4"/>
  <c r="F41" i="4" s="1"/>
  <c r="B41" i="4"/>
  <c r="A41" i="4"/>
  <c r="G40" i="4"/>
  <c r="E40" i="4"/>
  <c r="D40" i="4"/>
  <c r="C40" i="4"/>
  <c r="B40" i="4"/>
  <c r="A40" i="4"/>
  <c r="G39" i="4"/>
  <c r="E39" i="4"/>
  <c r="D39" i="4"/>
  <c r="C39" i="4"/>
  <c r="B39" i="4"/>
  <c r="A39" i="4"/>
  <c r="G38" i="4"/>
  <c r="E38" i="4"/>
  <c r="H38" i="4" s="1"/>
  <c r="D38" i="4"/>
  <c r="C38" i="4"/>
  <c r="B38" i="4"/>
  <c r="A38" i="4"/>
  <c r="G37" i="4"/>
  <c r="E37" i="4"/>
  <c r="D37" i="4"/>
  <c r="C37" i="4"/>
  <c r="B37" i="4"/>
  <c r="A37" i="4"/>
  <c r="G36" i="4"/>
  <c r="H36" i="4" s="1"/>
  <c r="I36" i="4" s="1"/>
  <c r="E36" i="4"/>
  <c r="F36" i="4" s="1"/>
  <c r="D36" i="4"/>
  <c r="C36" i="4"/>
  <c r="B36" i="4"/>
  <c r="A36" i="4"/>
  <c r="G35" i="4"/>
  <c r="E35" i="4"/>
  <c r="D35" i="4"/>
  <c r="C35" i="4"/>
  <c r="B35" i="4"/>
  <c r="A35" i="4"/>
  <c r="G34" i="4"/>
  <c r="E34" i="4"/>
  <c r="D34" i="4"/>
  <c r="C34" i="4"/>
  <c r="B34" i="4"/>
  <c r="A34" i="4"/>
  <c r="G33" i="4"/>
  <c r="E33" i="4"/>
  <c r="H33" i="4" s="1"/>
  <c r="D33" i="4"/>
  <c r="C33" i="4"/>
  <c r="F33" i="4" s="1"/>
  <c r="B33" i="4"/>
  <c r="A33" i="4"/>
  <c r="G32" i="4"/>
  <c r="E32" i="4"/>
  <c r="D32" i="4"/>
  <c r="C32" i="4"/>
  <c r="B32" i="4"/>
  <c r="A32" i="4"/>
  <c r="G31" i="4"/>
  <c r="E31" i="4"/>
  <c r="D31" i="4"/>
  <c r="C31" i="4"/>
  <c r="B31" i="4"/>
  <c r="A31" i="4"/>
  <c r="G30" i="4"/>
  <c r="E30" i="4"/>
  <c r="H30" i="4" s="1"/>
  <c r="D30" i="4"/>
  <c r="C30" i="4"/>
  <c r="B30" i="4"/>
  <c r="A30" i="4"/>
  <c r="G29" i="4"/>
  <c r="E29" i="4"/>
  <c r="H29" i="4" s="1"/>
  <c r="D29" i="4"/>
  <c r="C29" i="4"/>
  <c r="B29" i="4"/>
  <c r="A29" i="4"/>
  <c r="G28" i="4"/>
  <c r="E28" i="4"/>
  <c r="D28" i="4"/>
  <c r="C28" i="4"/>
  <c r="B28" i="4"/>
  <c r="A28" i="4"/>
  <c r="G27" i="4"/>
  <c r="E27" i="4"/>
  <c r="D27" i="4"/>
  <c r="C27" i="4"/>
  <c r="B27" i="4"/>
  <c r="A27" i="4"/>
  <c r="G26" i="4"/>
  <c r="E26" i="4"/>
  <c r="D26" i="4"/>
  <c r="C26" i="4"/>
  <c r="B26" i="4"/>
  <c r="A26" i="4"/>
  <c r="G25" i="4"/>
  <c r="E25" i="4"/>
  <c r="H25" i="4" s="1"/>
  <c r="D25" i="4"/>
  <c r="C25" i="4"/>
  <c r="B25" i="4"/>
  <c r="A25" i="4"/>
  <c r="G24" i="4"/>
  <c r="E24" i="4"/>
  <c r="H24" i="4" s="1"/>
  <c r="D24" i="4"/>
  <c r="C24" i="4"/>
  <c r="B24" i="4"/>
  <c r="A24" i="4"/>
  <c r="G23" i="4"/>
  <c r="E23" i="4"/>
  <c r="D23" i="4"/>
  <c r="C23" i="4"/>
  <c r="B23" i="4"/>
  <c r="A23" i="4"/>
  <c r="G22" i="4"/>
  <c r="E22" i="4"/>
  <c r="D22" i="4"/>
  <c r="C22" i="4"/>
  <c r="B22" i="4"/>
  <c r="A22" i="4"/>
  <c r="G21" i="4"/>
  <c r="E21" i="4"/>
  <c r="D21" i="4"/>
  <c r="C21" i="4"/>
  <c r="B21" i="4"/>
  <c r="A21" i="4"/>
  <c r="G20" i="4"/>
  <c r="E20" i="4"/>
  <c r="D20" i="4"/>
  <c r="C20" i="4"/>
  <c r="B20" i="4"/>
  <c r="A20" i="4"/>
  <c r="G19" i="4"/>
  <c r="E19" i="4"/>
  <c r="D19" i="4"/>
  <c r="C19" i="4"/>
  <c r="B19" i="4"/>
  <c r="A19" i="4"/>
  <c r="G18" i="4"/>
  <c r="E18" i="4"/>
  <c r="D18" i="4"/>
  <c r="C18" i="4"/>
  <c r="B18" i="4"/>
  <c r="A18" i="4"/>
  <c r="G17" i="4"/>
  <c r="E17" i="4"/>
  <c r="H17" i="4" s="1"/>
  <c r="D17" i="4"/>
  <c r="C17" i="4"/>
  <c r="F17" i="4" s="1"/>
  <c r="B17" i="4"/>
  <c r="A17" i="4"/>
  <c r="G16" i="4"/>
  <c r="E16" i="4"/>
  <c r="D16" i="4"/>
  <c r="C16" i="4"/>
  <c r="B16" i="4"/>
  <c r="A16" i="4"/>
  <c r="G15" i="4"/>
  <c r="E15" i="4"/>
  <c r="D15" i="4"/>
  <c r="C15" i="4"/>
  <c r="B15" i="4"/>
  <c r="A15" i="4"/>
  <c r="G14" i="4"/>
  <c r="E14" i="4"/>
  <c r="H14" i="4" s="1"/>
  <c r="D14" i="4"/>
  <c r="C14" i="4"/>
  <c r="B14" i="4"/>
  <c r="A14" i="4"/>
  <c r="G13" i="4"/>
  <c r="E13" i="4"/>
  <c r="D13" i="4"/>
  <c r="C13" i="4"/>
  <c r="B13" i="4"/>
  <c r="A13" i="4"/>
  <c r="G12" i="4"/>
  <c r="E12" i="4"/>
  <c r="D12" i="4"/>
  <c r="C12" i="4"/>
  <c r="B12" i="4"/>
  <c r="A12" i="4"/>
  <c r="G11" i="4"/>
  <c r="H11" i="4" s="1"/>
  <c r="E11" i="4"/>
  <c r="D11" i="4"/>
  <c r="C11" i="4"/>
  <c r="B11" i="4"/>
  <c r="A11" i="4"/>
  <c r="G10" i="4"/>
  <c r="E10" i="4"/>
  <c r="H10" i="4" s="1"/>
  <c r="I10" i="4" s="1"/>
  <c r="D10" i="4"/>
  <c r="C10" i="4"/>
  <c r="B10" i="4"/>
  <c r="A10" i="4"/>
  <c r="G9" i="4"/>
  <c r="E9" i="4"/>
  <c r="H9" i="4" s="1"/>
  <c r="I9" i="4" s="1"/>
  <c r="D9" i="4"/>
  <c r="C9" i="4"/>
  <c r="B9" i="4"/>
  <c r="A9" i="4"/>
  <c r="G8" i="4"/>
  <c r="E8" i="4"/>
  <c r="H8" i="4" s="1"/>
  <c r="D8" i="4"/>
  <c r="C8" i="4"/>
  <c r="B8" i="4"/>
  <c r="A8" i="4"/>
  <c r="G7" i="4"/>
  <c r="E7" i="4"/>
  <c r="D7" i="4"/>
  <c r="C7" i="4"/>
  <c r="B7" i="4"/>
  <c r="A7" i="4"/>
  <c r="G6" i="4"/>
  <c r="E6" i="4"/>
  <c r="D6" i="4"/>
  <c r="C6" i="4"/>
  <c r="B6" i="4"/>
  <c r="A6" i="4"/>
  <c r="G79" i="3"/>
  <c r="E79" i="3"/>
  <c r="H79" i="3" s="1"/>
  <c r="I79" i="3" s="1"/>
  <c r="D79" i="3"/>
  <c r="C79" i="3"/>
  <c r="B79" i="3"/>
  <c r="A79" i="3"/>
  <c r="G78" i="3"/>
  <c r="E78" i="3"/>
  <c r="H78" i="3" s="1"/>
  <c r="D78" i="3"/>
  <c r="C78" i="3"/>
  <c r="B78" i="3"/>
  <c r="A78" i="3"/>
  <c r="G77" i="3"/>
  <c r="H77" i="3" s="1"/>
  <c r="E77" i="3"/>
  <c r="D77" i="3"/>
  <c r="C77" i="3"/>
  <c r="B77" i="3"/>
  <c r="A77" i="3"/>
  <c r="G76" i="3"/>
  <c r="H76" i="3" s="1"/>
  <c r="I76" i="3" s="1"/>
  <c r="E76" i="3"/>
  <c r="D76" i="3"/>
  <c r="F76" i="3" s="1"/>
  <c r="C76" i="3"/>
  <c r="B76" i="3"/>
  <c r="A76" i="3"/>
  <c r="G75" i="3"/>
  <c r="E75" i="3"/>
  <c r="D75" i="3"/>
  <c r="C75" i="3"/>
  <c r="B75" i="3"/>
  <c r="A75" i="3"/>
  <c r="G74" i="3"/>
  <c r="E74" i="3"/>
  <c r="H74" i="3" s="1"/>
  <c r="D74" i="3"/>
  <c r="C74" i="3"/>
  <c r="B74" i="3"/>
  <c r="A74" i="3"/>
  <c r="G73" i="3"/>
  <c r="E73" i="3"/>
  <c r="D73" i="3"/>
  <c r="C73" i="3"/>
  <c r="B73" i="3"/>
  <c r="A73" i="3"/>
  <c r="G72" i="3"/>
  <c r="E72" i="3"/>
  <c r="D72" i="3"/>
  <c r="C72" i="3"/>
  <c r="B72" i="3"/>
  <c r="A72" i="3"/>
  <c r="G71" i="3"/>
  <c r="E71" i="3"/>
  <c r="H71" i="3" s="1"/>
  <c r="I71" i="3" s="1"/>
  <c r="D71" i="3"/>
  <c r="C71" i="3"/>
  <c r="B71" i="3"/>
  <c r="A71" i="3"/>
  <c r="G70" i="3"/>
  <c r="E70" i="3"/>
  <c r="D70" i="3"/>
  <c r="C70" i="3"/>
  <c r="B70" i="3"/>
  <c r="A70" i="3"/>
  <c r="G69" i="3"/>
  <c r="E69" i="3"/>
  <c r="D69" i="3"/>
  <c r="C69" i="3"/>
  <c r="F69" i="3" s="1"/>
  <c r="B69" i="3"/>
  <c r="A69" i="3"/>
  <c r="G68" i="3"/>
  <c r="E68" i="3"/>
  <c r="H68" i="3" s="1"/>
  <c r="D68" i="3"/>
  <c r="C68" i="3"/>
  <c r="B68" i="3"/>
  <c r="A68" i="3"/>
  <c r="G67" i="3"/>
  <c r="E67" i="3"/>
  <c r="D67" i="3"/>
  <c r="C67" i="3"/>
  <c r="B67" i="3"/>
  <c r="A67" i="3"/>
  <c r="G66" i="3"/>
  <c r="E66" i="3"/>
  <c r="H66" i="3" s="1"/>
  <c r="D66" i="3"/>
  <c r="C66" i="3"/>
  <c r="B66" i="3"/>
  <c r="A66" i="3"/>
  <c r="G65" i="3"/>
  <c r="E65" i="3"/>
  <c r="D65" i="3"/>
  <c r="C65" i="3"/>
  <c r="B65" i="3"/>
  <c r="A65" i="3"/>
  <c r="G64" i="3"/>
  <c r="E64" i="3"/>
  <c r="H64" i="3" s="1"/>
  <c r="I64" i="3" s="1"/>
  <c r="D64" i="3"/>
  <c r="C64" i="3"/>
  <c r="B64" i="3"/>
  <c r="A64" i="3"/>
  <c r="G63" i="3"/>
  <c r="E63" i="3"/>
  <c r="D63" i="3"/>
  <c r="C63" i="3"/>
  <c r="B63" i="3"/>
  <c r="A63" i="3"/>
  <c r="G62" i="3"/>
  <c r="E62" i="3"/>
  <c r="F62" i="3" s="1"/>
  <c r="D62" i="3"/>
  <c r="C62" i="3"/>
  <c r="B62" i="3"/>
  <c r="A62" i="3"/>
  <c r="G61" i="3"/>
  <c r="E61" i="3"/>
  <c r="D61" i="3"/>
  <c r="C61" i="3"/>
  <c r="B61" i="3"/>
  <c r="A61" i="3"/>
  <c r="G60" i="3"/>
  <c r="E60" i="3"/>
  <c r="H60" i="3" s="1"/>
  <c r="D60" i="3"/>
  <c r="C60" i="3"/>
  <c r="B60" i="3"/>
  <c r="A60" i="3"/>
  <c r="G59" i="3"/>
  <c r="E59" i="3"/>
  <c r="D59" i="3"/>
  <c r="C59" i="3"/>
  <c r="B59" i="3"/>
  <c r="A59" i="3"/>
  <c r="G58" i="3"/>
  <c r="E58" i="3"/>
  <c r="H58" i="3" s="1"/>
  <c r="D58" i="3"/>
  <c r="C58" i="3"/>
  <c r="B58" i="3"/>
  <c r="A58" i="3"/>
  <c r="G57" i="3"/>
  <c r="E57" i="3"/>
  <c r="D57" i="3"/>
  <c r="C57" i="3"/>
  <c r="B57" i="3"/>
  <c r="A57" i="3"/>
  <c r="G56" i="3"/>
  <c r="E56" i="3"/>
  <c r="H56" i="3" s="1"/>
  <c r="D56" i="3"/>
  <c r="C56" i="3"/>
  <c r="B56" i="3"/>
  <c r="A56" i="3"/>
  <c r="G55" i="3"/>
  <c r="E55" i="3"/>
  <c r="H55" i="3" s="1"/>
  <c r="D55" i="3"/>
  <c r="C55" i="3"/>
  <c r="B55" i="3"/>
  <c r="A55" i="3"/>
  <c r="G54" i="3"/>
  <c r="E54" i="3"/>
  <c r="F54" i="3" s="1"/>
  <c r="D54" i="3"/>
  <c r="C54" i="3"/>
  <c r="B54" i="3"/>
  <c r="A54" i="3"/>
  <c r="G53" i="3"/>
  <c r="E53" i="3"/>
  <c r="D53" i="3"/>
  <c r="C53" i="3"/>
  <c r="F53" i="3" s="1"/>
  <c r="B53" i="3"/>
  <c r="A53" i="3"/>
  <c r="G52" i="3"/>
  <c r="E52" i="3"/>
  <c r="H52" i="3" s="1"/>
  <c r="D52" i="3"/>
  <c r="C52" i="3"/>
  <c r="B52" i="3"/>
  <c r="A52" i="3"/>
  <c r="G51" i="3"/>
  <c r="E51" i="3"/>
  <c r="D51" i="3"/>
  <c r="C51" i="3"/>
  <c r="B51" i="3"/>
  <c r="A51" i="3"/>
  <c r="G50" i="3"/>
  <c r="E50" i="3"/>
  <c r="D50" i="3"/>
  <c r="C50" i="3"/>
  <c r="B50" i="3"/>
  <c r="A50" i="3"/>
  <c r="G49" i="3"/>
  <c r="E49" i="3"/>
  <c r="D49" i="3"/>
  <c r="C49" i="3"/>
  <c r="B49" i="3"/>
  <c r="A49" i="3"/>
  <c r="G48" i="3"/>
  <c r="E48" i="3"/>
  <c r="H48" i="3" s="1"/>
  <c r="D48" i="3"/>
  <c r="C48" i="3"/>
  <c r="B48" i="3"/>
  <c r="A48" i="3"/>
  <c r="G47" i="3"/>
  <c r="E47" i="3"/>
  <c r="H47" i="3" s="1"/>
  <c r="D47" i="3"/>
  <c r="C47" i="3"/>
  <c r="B47" i="3"/>
  <c r="A47" i="3"/>
  <c r="G46" i="3"/>
  <c r="E46" i="3"/>
  <c r="H46" i="3" s="1"/>
  <c r="I46" i="3" s="1"/>
  <c r="D46" i="3"/>
  <c r="C46" i="3"/>
  <c r="B46" i="3"/>
  <c r="A46" i="3"/>
  <c r="G45" i="3"/>
  <c r="E45" i="3"/>
  <c r="D45" i="3"/>
  <c r="C45" i="3"/>
  <c r="F45" i="3" s="1"/>
  <c r="B45" i="3"/>
  <c r="A45" i="3"/>
  <c r="G44" i="3"/>
  <c r="E44" i="3"/>
  <c r="H44" i="3" s="1"/>
  <c r="I44" i="3" s="1"/>
  <c r="D44" i="3"/>
  <c r="C44" i="3"/>
  <c r="B44" i="3"/>
  <c r="A44" i="3"/>
  <c r="G43" i="3"/>
  <c r="E43" i="3"/>
  <c r="D43" i="3"/>
  <c r="C43" i="3"/>
  <c r="B43" i="3"/>
  <c r="A43" i="3"/>
  <c r="G42" i="3"/>
  <c r="E42" i="3"/>
  <c r="D42" i="3"/>
  <c r="F42" i="3" s="1"/>
  <c r="C42" i="3"/>
  <c r="B42" i="3"/>
  <c r="A42" i="3"/>
  <c r="G41" i="3"/>
  <c r="E41" i="3"/>
  <c r="D41" i="3"/>
  <c r="C41" i="3"/>
  <c r="B41" i="3"/>
  <c r="A41" i="3"/>
  <c r="G40" i="3"/>
  <c r="E40" i="3"/>
  <c r="H40" i="3" s="1"/>
  <c r="D40" i="3"/>
  <c r="C40" i="3"/>
  <c r="B40" i="3"/>
  <c r="A40" i="3"/>
  <c r="G39" i="3"/>
  <c r="E39" i="3"/>
  <c r="D39" i="3"/>
  <c r="C39" i="3"/>
  <c r="B39" i="3"/>
  <c r="A39" i="3"/>
  <c r="H38" i="3"/>
  <c r="I38" i="3" s="1"/>
  <c r="G38" i="3"/>
  <c r="E38" i="3"/>
  <c r="D38" i="3"/>
  <c r="C38" i="3"/>
  <c r="B38" i="3"/>
  <c r="A38" i="3"/>
  <c r="G37" i="3"/>
  <c r="E37" i="3"/>
  <c r="D37" i="3"/>
  <c r="C37" i="3"/>
  <c r="B37" i="3"/>
  <c r="A37" i="3"/>
  <c r="G36" i="3"/>
  <c r="E36" i="3"/>
  <c r="H36" i="3" s="1"/>
  <c r="D36" i="3"/>
  <c r="C36" i="3"/>
  <c r="B36" i="3"/>
  <c r="A36" i="3"/>
  <c r="G35" i="3"/>
  <c r="E35" i="3"/>
  <c r="D35" i="3"/>
  <c r="C35" i="3"/>
  <c r="B35" i="3"/>
  <c r="A35" i="3"/>
  <c r="G34" i="3"/>
  <c r="E34" i="3"/>
  <c r="H34" i="3" s="1"/>
  <c r="D34" i="3"/>
  <c r="C34" i="3"/>
  <c r="B34" i="3"/>
  <c r="A34" i="3"/>
  <c r="G33" i="3"/>
  <c r="E33" i="3"/>
  <c r="D33" i="3"/>
  <c r="C33" i="3"/>
  <c r="B33" i="3"/>
  <c r="A33" i="3"/>
  <c r="G32" i="3"/>
  <c r="E32" i="3"/>
  <c r="H32" i="3" s="1"/>
  <c r="I32" i="3" s="1"/>
  <c r="D32" i="3"/>
  <c r="F32" i="3" s="1"/>
  <c r="C32" i="3"/>
  <c r="B32" i="3"/>
  <c r="A32" i="3"/>
  <c r="G31" i="3"/>
  <c r="E31" i="3"/>
  <c r="D31" i="3"/>
  <c r="C31" i="3"/>
  <c r="B31" i="3"/>
  <c r="A31" i="3"/>
  <c r="G30" i="3"/>
  <c r="E30" i="3"/>
  <c r="F30" i="3" s="1"/>
  <c r="D30" i="3"/>
  <c r="C30" i="3"/>
  <c r="B30" i="3"/>
  <c r="A30" i="3"/>
  <c r="G29" i="3"/>
  <c r="E29" i="3"/>
  <c r="D29" i="3"/>
  <c r="C29" i="3"/>
  <c r="B29" i="3"/>
  <c r="A29" i="3"/>
  <c r="G28" i="3"/>
  <c r="E28" i="3"/>
  <c r="H28" i="3" s="1"/>
  <c r="I28" i="3" s="1"/>
  <c r="D28" i="3"/>
  <c r="C28" i="3"/>
  <c r="B28" i="3"/>
  <c r="A28" i="3"/>
  <c r="G27" i="3"/>
  <c r="E27" i="3"/>
  <c r="D27" i="3"/>
  <c r="C27" i="3"/>
  <c r="B27" i="3"/>
  <c r="A27" i="3"/>
  <c r="G26" i="3"/>
  <c r="E26" i="3"/>
  <c r="H26" i="3" s="1"/>
  <c r="D26" i="3"/>
  <c r="C26" i="3"/>
  <c r="B26" i="3"/>
  <c r="A26" i="3"/>
  <c r="G25" i="3"/>
  <c r="E25" i="3"/>
  <c r="D25" i="3"/>
  <c r="C25" i="3"/>
  <c r="B25" i="3"/>
  <c r="A25" i="3"/>
  <c r="G24" i="3"/>
  <c r="E24" i="3"/>
  <c r="H24" i="3" s="1"/>
  <c r="I24" i="3" s="1"/>
  <c r="D24" i="3"/>
  <c r="C24" i="3"/>
  <c r="B24" i="3"/>
  <c r="A24" i="3"/>
  <c r="G23" i="3"/>
  <c r="E23" i="3"/>
  <c r="H23" i="3" s="1"/>
  <c r="D23" i="3"/>
  <c r="C23" i="3"/>
  <c r="B23" i="3"/>
  <c r="A23" i="3"/>
  <c r="G22" i="3"/>
  <c r="E22" i="3"/>
  <c r="D22" i="3"/>
  <c r="C22" i="3"/>
  <c r="B22" i="3"/>
  <c r="A22" i="3"/>
  <c r="G21" i="3"/>
  <c r="E21" i="3"/>
  <c r="D21" i="3"/>
  <c r="C21" i="3"/>
  <c r="F21" i="3" s="1"/>
  <c r="B21" i="3"/>
  <c r="A21" i="3"/>
  <c r="G20" i="3"/>
  <c r="E20" i="3"/>
  <c r="H20" i="3" s="1"/>
  <c r="I20" i="3" s="1"/>
  <c r="D20" i="3"/>
  <c r="C20" i="3"/>
  <c r="B20" i="3"/>
  <c r="A20" i="3"/>
  <c r="G19" i="3"/>
  <c r="E19" i="3"/>
  <c r="D19" i="3"/>
  <c r="C19" i="3"/>
  <c r="B19" i="3"/>
  <c r="A19" i="3"/>
  <c r="G18" i="3"/>
  <c r="E18" i="3"/>
  <c r="D18" i="3"/>
  <c r="C18" i="3"/>
  <c r="B18" i="3"/>
  <c r="A18" i="3"/>
  <c r="G17" i="3"/>
  <c r="E17" i="3"/>
  <c r="D17" i="3"/>
  <c r="C17" i="3"/>
  <c r="B17" i="3"/>
  <c r="A17" i="3"/>
  <c r="G16" i="3"/>
  <c r="E16" i="3"/>
  <c r="H16" i="3" s="1"/>
  <c r="I16" i="3" s="1"/>
  <c r="D16" i="3"/>
  <c r="C16" i="3"/>
  <c r="B16" i="3"/>
  <c r="A16" i="3"/>
  <c r="G15" i="3"/>
  <c r="E15" i="3"/>
  <c r="H15" i="3" s="1"/>
  <c r="D15" i="3"/>
  <c r="C15" i="3"/>
  <c r="B15" i="3"/>
  <c r="A15" i="3"/>
  <c r="G14" i="3"/>
  <c r="E14" i="3"/>
  <c r="H14" i="3" s="1"/>
  <c r="D14" i="3"/>
  <c r="C14" i="3"/>
  <c r="B14" i="3"/>
  <c r="A14" i="3"/>
  <c r="G13" i="3"/>
  <c r="E13" i="3"/>
  <c r="D13" i="3"/>
  <c r="C13" i="3"/>
  <c r="F13" i="3" s="1"/>
  <c r="B13" i="3"/>
  <c r="A13" i="3"/>
  <c r="G12" i="3"/>
  <c r="H12" i="3" s="1"/>
  <c r="I12" i="3" s="1"/>
  <c r="E12" i="3"/>
  <c r="D12" i="3"/>
  <c r="F12" i="3" s="1"/>
  <c r="C12" i="3"/>
  <c r="B12" i="3"/>
  <c r="A12" i="3"/>
  <c r="G11" i="3"/>
  <c r="E11" i="3"/>
  <c r="H11" i="3" s="1"/>
  <c r="I11" i="3" s="1"/>
  <c r="D11" i="3"/>
  <c r="C11" i="3"/>
  <c r="B11" i="3"/>
  <c r="A11" i="3"/>
  <c r="G10" i="3"/>
  <c r="E10" i="3"/>
  <c r="H10" i="3" s="1"/>
  <c r="D10" i="3"/>
  <c r="C10" i="3"/>
  <c r="B10" i="3"/>
  <c r="A10" i="3"/>
  <c r="G9" i="3"/>
  <c r="E9" i="3"/>
  <c r="D9" i="3"/>
  <c r="C9" i="3"/>
  <c r="B9" i="3"/>
  <c r="A9" i="3"/>
  <c r="G8" i="3"/>
  <c r="E8" i="3"/>
  <c r="D8" i="3"/>
  <c r="C8" i="3"/>
  <c r="B8" i="3"/>
  <c r="A8" i="3"/>
  <c r="G7" i="3"/>
  <c r="E7" i="3"/>
  <c r="H7" i="3" s="1"/>
  <c r="I7" i="3" s="1"/>
  <c r="D7" i="3"/>
  <c r="C7" i="3"/>
  <c r="B7" i="3"/>
  <c r="A7" i="3"/>
  <c r="G6" i="3"/>
  <c r="E6" i="3"/>
  <c r="H6" i="3" s="1"/>
  <c r="I6" i="3" s="1"/>
  <c r="D6" i="3"/>
  <c r="C6" i="3"/>
  <c r="B6" i="3"/>
  <c r="A6" i="3"/>
  <c r="W92" i="2"/>
  <c r="V92" i="2"/>
  <c r="T92" i="2"/>
  <c r="S92" i="2"/>
  <c r="P92" i="2"/>
  <c r="N92" i="2"/>
  <c r="K92" i="2"/>
  <c r="I92" i="2"/>
  <c r="H92" i="2"/>
  <c r="W91" i="2"/>
  <c r="V91" i="2"/>
  <c r="T91" i="2"/>
  <c r="S91" i="2"/>
  <c r="Q91" i="2"/>
  <c r="P91" i="2"/>
  <c r="N91" i="2"/>
  <c r="K91" i="2"/>
  <c r="I91" i="2"/>
  <c r="H91" i="2"/>
  <c r="D91" i="2"/>
  <c r="W90" i="2"/>
  <c r="V90" i="2"/>
  <c r="T90" i="2"/>
  <c r="S90" i="2"/>
  <c r="Q90" i="2"/>
  <c r="P90" i="2"/>
  <c r="N90" i="2"/>
  <c r="K90" i="2"/>
  <c r="I90" i="2"/>
  <c r="H90" i="2"/>
  <c r="D90" i="2"/>
  <c r="W89" i="2"/>
  <c r="V89" i="2"/>
  <c r="T89" i="2"/>
  <c r="S89" i="2"/>
  <c r="Q89" i="2"/>
  <c r="P89" i="2"/>
  <c r="N89" i="2"/>
  <c r="K89" i="2"/>
  <c r="I89" i="2"/>
  <c r="H89" i="2"/>
  <c r="D89" i="2"/>
  <c r="W88" i="2"/>
  <c r="V88" i="2"/>
  <c r="T88" i="2"/>
  <c r="S88" i="2"/>
  <c r="Q88" i="2"/>
  <c r="P88" i="2"/>
  <c r="N88" i="2"/>
  <c r="K88" i="2"/>
  <c r="I88" i="2"/>
  <c r="H88" i="2"/>
  <c r="D88" i="2"/>
  <c r="W87" i="2"/>
  <c r="V87" i="2"/>
  <c r="T87" i="2"/>
  <c r="S87" i="2"/>
  <c r="Q87" i="2"/>
  <c r="P87" i="2"/>
  <c r="N87" i="2"/>
  <c r="K87" i="2"/>
  <c r="I87" i="2"/>
  <c r="H87" i="2"/>
  <c r="D87" i="2"/>
  <c r="W85" i="2"/>
  <c r="V85" i="2"/>
  <c r="T85" i="2"/>
  <c r="S85" i="2"/>
  <c r="Q85" i="2"/>
  <c r="P85" i="2"/>
  <c r="N85" i="2"/>
  <c r="K85" i="2"/>
  <c r="I85" i="2"/>
  <c r="H85" i="2"/>
  <c r="D85" i="2"/>
  <c r="W84" i="2"/>
  <c r="V84" i="2"/>
  <c r="T84" i="2"/>
  <c r="S84" i="2"/>
  <c r="Q84" i="2"/>
  <c r="P84" i="2"/>
  <c r="N84" i="2"/>
  <c r="K84" i="2"/>
  <c r="I84" i="2"/>
  <c r="H84" i="2"/>
  <c r="W83" i="2"/>
  <c r="V83" i="2"/>
  <c r="T83" i="2"/>
  <c r="S83" i="2"/>
  <c r="Q83" i="2"/>
  <c r="P83" i="2"/>
  <c r="N83" i="2"/>
  <c r="K83" i="2"/>
  <c r="I83" i="2"/>
  <c r="H83" i="2"/>
  <c r="D83" i="2"/>
  <c r="W82" i="2"/>
  <c r="V82" i="2"/>
  <c r="T82" i="2"/>
  <c r="S82" i="2"/>
  <c r="Q82" i="2"/>
  <c r="P82" i="2"/>
  <c r="N82" i="2"/>
  <c r="K82" i="2"/>
  <c r="I82" i="2"/>
  <c r="H82" i="2"/>
  <c r="D82" i="2"/>
  <c r="W81" i="2"/>
  <c r="V81" i="2"/>
  <c r="T81" i="2"/>
  <c r="S81" i="2"/>
  <c r="Q81" i="2"/>
  <c r="P81" i="2"/>
  <c r="N81" i="2"/>
  <c r="K81" i="2"/>
  <c r="I81" i="2"/>
  <c r="H81" i="2"/>
  <c r="D81" i="2"/>
  <c r="W80" i="2"/>
  <c r="V80" i="2"/>
  <c r="T80" i="2"/>
  <c r="S80" i="2"/>
  <c r="Q80" i="2"/>
  <c r="P80" i="2"/>
  <c r="N80" i="2"/>
  <c r="K80" i="2"/>
  <c r="I80" i="2"/>
  <c r="H80" i="2"/>
  <c r="D80" i="2"/>
  <c r="W79" i="2"/>
  <c r="V79" i="2"/>
  <c r="T79" i="2"/>
  <c r="S79" i="2"/>
  <c r="Q79" i="2"/>
  <c r="P79" i="2"/>
  <c r="N79" i="2"/>
  <c r="K79" i="2"/>
  <c r="I79" i="2"/>
  <c r="H79" i="2"/>
  <c r="W77" i="2"/>
  <c r="V77" i="2"/>
  <c r="T77" i="2"/>
  <c r="S77" i="2"/>
  <c r="Q77" i="2"/>
  <c r="P77" i="2"/>
  <c r="N77" i="2"/>
  <c r="K77" i="2"/>
  <c r="I77" i="2"/>
  <c r="H77" i="2"/>
  <c r="D77" i="2"/>
  <c r="W76" i="2"/>
  <c r="V76" i="2"/>
  <c r="T76" i="2"/>
  <c r="S76" i="2"/>
  <c r="Q76" i="2"/>
  <c r="P76" i="2"/>
  <c r="N76" i="2"/>
  <c r="K76" i="2"/>
  <c r="I76" i="2"/>
  <c r="H76" i="2"/>
  <c r="D76" i="2"/>
  <c r="W75" i="2"/>
  <c r="V75" i="2"/>
  <c r="T75" i="2"/>
  <c r="S75" i="2"/>
  <c r="Q75" i="2"/>
  <c r="P75" i="2"/>
  <c r="N75" i="2"/>
  <c r="K75" i="2"/>
  <c r="I75" i="2"/>
  <c r="H75" i="2"/>
  <c r="D75" i="2"/>
  <c r="W73" i="2"/>
  <c r="V73" i="2"/>
  <c r="T73" i="2"/>
  <c r="S73" i="2"/>
  <c r="Q73" i="2"/>
  <c r="P73" i="2"/>
  <c r="N73" i="2"/>
  <c r="K73" i="2"/>
  <c r="I73" i="2"/>
  <c r="H73" i="2"/>
  <c r="W70" i="2"/>
  <c r="V70" i="2"/>
  <c r="T70" i="2"/>
  <c r="S70" i="2"/>
  <c r="Q70" i="2"/>
  <c r="P70" i="2"/>
  <c r="K70" i="2"/>
  <c r="I70" i="2"/>
  <c r="H70" i="2"/>
  <c r="W65" i="2"/>
  <c r="V65" i="2"/>
  <c r="T65" i="2"/>
  <c r="S65" i="2"/>
  <c r="Q65" i="2"/>
  <c r="P65" i="2"/>
  <c r="K65" i="2"/>
  <c r="I65" i="2"/>
  <c r="H65" i="2"/>
  <c r="D65" i="2"/>
  <c r="W63" i="2"/>
  <c r="V63" i="2"/>
  <c r="T63" i="2"/>
  <c r="S63" i="2"/>
  <c r="P63" i="2"/>
  <c r="K63" i="2"/>
  <c r="I63" i="2"/>
  <c r="H63" i="2"/>
  <c r="W62" i="2"/>
  <c r="V62" i="2"/>
  <c r="T62" i="2"/>
  <c r="S62" i="2"/>
  <c r="Q62" i="2"/>
  <c r="P62" i="2"/>
  <c r="K62" i="2"/>
  <c r="I62" i="2"/>
  <c r="H62" i="2"/>
  <c r="W34" i="2"/>
  <c r="V34" i="2"/>
  <c r="T34" i="2"/>
  <c r="S34" i="2"/>
  <c r="P34" i="2"/>
  <c r="K34" i="2"/>
  <c r="I34" i="2"/>
  <c r="H34" i="2"/>
  <c r="W94" i="1"/>
  <c r="V94" i="1"/>
  <c r="T94" i="1"/>
  <c r="S94" i="1"/>
  <c r="Q94" i="1"/>
  <c r="P94" i="1"/>
  <c r="K94" i="1"/>
  <c r="I94" i="1"/>
  <c r="H94" i="1"/>
  <c r="W93" i="1"/>
  <c r="V93" i="1"/>
  <c r="T93" i="1"/>
  <c r="S93" i="1"/>
  <c r="P93" i="1"/>
  <c r="K93" i="1"/>
  <c r="I93" i="1"/>
  <c r="H93" i="1"/>
  <c r="W92" i="1"/>
  <c r="V92" i="1"/>
  <c r="T92" i="1"/>
  <c r="S92" i="1"/>
  <c r="Q92" i="1"/>
  <c r="P92" i="1"/>
  <c r="K92" i="1"/>
  <c r="I92" i="1"/>
  <c r="H92" i="1"/>
  <c r="W91" i="1"/>
  <c r="V91" i="1"/>
  <c r="T91" i="1"/>
  <c r="S91" i="1"/>
  <c r="Q91" i="1"/>
  <c r="P91" i="1"/>
  <c r="K91" i="1"/>
  <c r="I91" i="1"/>
  <c r="H91" i="1"/>
  <c r="W90" i="1"/>
  <c r="V90" i="1"/>
  <c r="T90" i="1"/>
  <c r="S90" i="1"/>
  <c r="Q90" i="1"/>
  <c r="P90" i="1"/>
  <c r="K90" i="1"/>
  <c r="I90" i="1"/>
  <c r="H90" i="1"/>
  <c r="W89" i="1"/>
  <c r="V89" i="1"/>
  <c r="T89" i="1"/>
  <c r="S89" i="1"/>
  <c r="Q89" i="1"/>
  <c r="P89" i="1"/>
  <c r="K89" i="1"/>
  <c r="I89" i="1"/>
  <c r="H89" i="1"/>
  <c r="W88" i="1"/>
  <c r="V88" i="1"/>
  <c r="T88" i="1"/>
  <c r="S88" i="1"/>
  <c r="Q88" i="1"/>
  <c r="P88" i="1"/>
  <c r="K88" i="1"/>
  <c r="I88" i="1"/>
  <c r="H88" i="1"/>
  <c r="W87" i="1"/>
  <c r="V87" i="1"/>
  <c r="T87" i="1"/>
  <c r="S87" i="1"/>
  <c r="Q87" i="1"/>
  <c r="P87" i="1"/>
  <c r="K87" i="1"/>
  <c r="I87" i="1"/>
  <c r="H87" i="1"/>
  <c r="W86" i="1"/>
  <c r="V86" i="1"/>
  <c r="T86" i="1"/>
  <c r="S86" i="1"/>
  <c r="Q86" i="1"/>
  <c r="P86" i="1"/>
  <c r="K86" i="1"/>
  <c r="I86" i="1"/>
  <c r="H86" i="1"/>
  <c r="W85" i="1"/>
  <c r="V85" i="1"/>
  <c r="T85" i="1"/>
  <c r="S85" i="1"/>
  <c r="Q85" i="1"/>
  <c r="P85" i="1"/>
  <c r="K85" i="1"/>
  <c r="I85" i="1"/>
  <c r="H85" i="1"/>
  <c r="W84" i="1"/>
  <c r="V84" i="1"/>
  <c r="T84" i="1"/>
  <c r="S84" i="1"/>
  <c r="Q84" i="1"/>
  <c r="P84" i="1"/>
  <c r="K84" i="1"/>
  <c r="I84" i="1"/>
  <c r="H84" i="1"/>
  <c r="W83" i="1"/>
  <c r="V83" i="1"/>
  <c r="T83" i="1"/>
  <c r="S83" i="1"/>
  <c r="Q83" i="1"/>
  <c r="P83" i="1"/>
  <c r="K83" i="1"/>
  <c r="I83" i="1"/>
  <c r="H83" i="1"/>
  <c r="W82" i="1"/>
  <c r="V82" i="1"/>
  <c r="T82" i="1"/>
  <c r="S82" i="1"/>
  <c r="Q82" i="1"/>
  <c r="P82" i="1"/>
  <c r="K82" i="1"/>
  <c r="I82" i="1"/>
  <c r="H82" i="1"/>
  <c r="W81" i="1"/>
  <c r="V81" i="1"/>
  <c r="T81" i="1"/>
  <c r="S81" i="1"/>
  <c r="Q81" i="1"/>
  <c r="P81" i="1"/>
  <c r="K81" i="1"/>
  <c r="I81" i="1"/>
  <c r="H81" i="1"/>
  <c r="W80" i="1"/>
  <c r="V80" i="1"/>
  <c r="T80" i="1"/>
  <c r="S80" i="1"/>
  <c r="Q80" i="1"/>
  <c r="P80" i="1"/>
  <c r="K80" i="1"/>
  <c r="I80" i="1"/>
  <c r="H80" i="1"/>
  <c r="W79" i="1"/>
  <c r="V79" i="1"/>
  <c r="T79" i="1"/>
  <c r="S79" i="1"/>
  <c r="Q79" i="1"/>
  <c r="P79" i="1"/>
  <c r="K79" i="1"/>
  <c r="I79" i="1"/>
  <c r="H79" i="1"/>
  <c r="W78" i="1"/>
  <c r="V78" i="1"/>
  <c r="T78" i="1"/>
  <c r="S78" i="1"/>
  <c r="Q78" i="1"/>
  <c r="P78" i="1"/>
  <c r="K78" i="1"/>
  <c r="I78" i="1"/>
  <c r="H78" i="1"/>
  <c r="W77" i="1"/>
  <c r="V77" i="1"/>
  <c r="T77" i="1"/>
  <c r="S77" i="1"/>
  <c r="Q77" i="1"/>
  <c r="P77" i="1"/>
  <c r="K77" i="1"/>
  <c r="I77" i="1"/>
  <c r="H77" i="1"/>
  <c r="W74" i="1"/>
  <c r="V74" i="1"/>
  <c r="T74" i="1"/>
  <c r="S74" i="1"/>
  <c r="P74" i="1"/>
  <c r="K74" i="1"/>
  <c r="I74" i="1"/>
  <c r="H74" i="1"/>
  <c r="H27" i="4" l="1"/>
  <c r="I14" i="4"/>
  <c r="F26" i="4"/>
  <c r="F44" i="4"/>
  <c r="F52" i="4"/>
  <c r="F60" i="4"/>
  <c r="F73" i="4"/>
  <c r="I72" i="4"/>
  <c r="I17" i="4"/>
  <c r="F54" i="4"/>
  <c r="F12" i="4"/>
  <c r="F20" i="4"/>
  <c r="F28" i="4"/>
  <c r="I46" i="4"/>
  <c r="F49" i="4"/>
  <c r="F58" i="4"/>
  <c r="F22" i="4"/>
  <c r="I30" i="4"/>
  <c r="I8" i="4"/>
  <c r="H26" i="4"/>
  <c r="I26" i="4" s="1"/>
  <c r="F67" i="4"/>
  <c r="H59" i="4"/>
  <c r="I59" i="4" s="1"/>
  <c r="H67" i="4"/>
  <c r="I67" i="4" s="1"/>
  <c r="F9" i="4"/>
  <c r="F35" i="4"/>
  <c r="H40" i="4"/>
  <c r="I40" i="4" s="1"/>
  <c r="H70" i="4"/>
  <c r="I70" i="4" s="1"/>
  <c r="F23" i="3"/>
  <c r="H37" i="3"/>
  <c r="I37" i="3" s="1"/>
  <c r="F10" i="3"/>
  <c r="F44" i="3"/>
  <c r="F70" i="3"/>
  <c r="H75" i="3"/>
  <c r="I75" i="3" s="1"/>
  <c r="I14" i="3"/>
  <c r="F22" i="3"/>
  <c r="I48" i="3"/>
  <c r="I56" i="3"/>
  <c r="H70" i="3"/>
  <c r="I70" i="3" s="1"/>
  <c r="H18" i="3"/>
  <c r="H39" i="3"/>
  <c r="I39" i="3" s="1"/>
  <c r="F55" i="3"/>
  <c r="H69" i="3"/>
  <c r="I69" i="3" s="1"/>
  <c r="H50" i="3"/>
  <c r="I50" i="3" s="1"/>
  <c r="I23" i="3"/>
  <c r="I60" i="3"/>
  <c r="F77" i="3"/>
  <c r="H30" i="3"/>
  <c r="I30" i="3" s="1"/>
  <c r="F37" i="3"/>
  <c r="F38" i="3"/>
  <c r="I47" i="3"/>
  <c r="I55" i="3"/>
  <c r="I68" i="3"/>
  <c r="I15" i="3"/>
  <c r="I36" i="3"/>
  <c r="H62" i="3"/>
  <c r="I62" i="3" s="1"/>
  <c r="I40" i="3"/>
  <c r="I52" i="3"/>
  <c r="F64" i="3"/>
  <c r="H8" i="3"/>
  <c r="I8" i="3" s="1"/>
  <c r="H42" i="3"/>
  <c r="I42" i="3" s="1"/>
  <c r="I66" i="3"/>
  <c r="H29" i="3"/>
  <c r="I29" i="3" s="1"/>
  <c r="F34" i="3"/>
  <c r="F66" i="3"/>
  <c r="F8" i="3"/>
  <c r="F40" i="3"/>
  <c r="F52" i="3"/>
  <c r="I58" i="3"/>
  <c r="F72" i="3"/>
  <c r="I78" i="3"/>
  <c r="F7" i="3"/>
  <c r="F14" i="3"/>
  <c r="H21" i="3"/>
  <c r="I21" i="3" s="1"/>
  <c r="H22" i="3"/>
  <c r="I22" i="3" s="1"/>
  <c r="F26" i="3"/>
  <c r="H27" i="3"/>
  <c r="I27" i="3" s="1"/>
  <c r="F39" i="3"/>
  <c r="F46" i="3"/>
  <c r="H53" i="3"/>
  <c r="I53" i="3" s="1"/>
  <c r="H54" i="3"/>
  <c r="I54" i="3" s="1"/>
  <c r="F58" i="3"/>
  <c r="F71" i="3"/>
  <c r="H72" i="3"/>
  <c r="I72" i="3" s="1"/>
  <c r="F16" i="3"/>
  <c r="F60" i="3"/>
  <c r="F15" i="3"/>
  <c r="I26" i="3"/>
  <c r="H13" i="3"/>
  <c r="I13" i="3" s="1"/>
  <c r="F18" i="3"/>
  <c r="F31" i="3"/>
  <c r="H45" i="3"/>
  <c r="I45" i="3" s="1"/>
  <c r="F50" i="3"/>
  <c r="H51" i="3"/>
  <c r="I51" i="3" s="1"/>
  <c r="F63" i="3"/>
  <c r="I74" i="3"/>
  <c r="I77" i="3"/>
  <c r="F28" i="3"/>
  <c r="I34" i="3"/>
  <c r="F48" i="3"/>
  <c r="F47" i="3"/>
  <c r="H61" i="3"/>
  <c r="I61" i="3" s="1"/>
  <c r="F20" i="3"/>
  <c r="I18" i="3"/>
  <c r="I10" i="3"/>
  <c r="F24" i="3"/>
  <c r="F29" i="3"/>
  <c r="H31" i="3"/>
  <c r="I31" i="3" s="1"/>
  <c r="F36" i="3"/>
  <c r="F56" i="3"/>
  <c r="F61" i="3"/>
  <c r="H63" i="3"/>
  <c r="I63" i="3" s="1"/>
  <c r="F68" i="3"/>
  <c r="H58" i="4"/>
  <c r="I58" i="4" s="1"/>
  <c r="H62" i="4"/>
  <c r="I62" i="4" s="1"/>
  <c r="F65" i="4"/>
  <c r="H68" i="4"/>
  <c r="I68" i="4" s="1"/>
  <c r="H74" i="4"/>
  <c r="I74" i="4" s="1"/>
  <c r="F34" i="4"/>
  <c r="H52" i="4"/>
  <c r="I52" i="4" s="1"/>
  <c r="F66" i="4"/>
  <c r="H71" i="4"/>
  <c r="F19" i="4"/>
  <c r="F51" i="4"/>
  <c r="H20" i="4"/>
  <c r="I20" i="4" s="1"/>
  <c r="H35" i="4"/>
  <c r="I35" i="4" s="1"/>
  <c r="F18" i="4"/>
  <c r="H19" i="4"/>
  <c r="I19" i="4" s="1"/>
  <c r="I29" i="4"/>
  <c r="F50" i="4"/>
  <c r="H51" i="4"/>
  <c r="I51" i="4" s="1"/>
  <c r="H34" i="4"/>
  <c r="I34" i="4" s="1"/>
  <c r="H16" i="4"/>
  <c r="I16" i="4" s="1"/>
  <c r="H18" i="4"/>
  <c r="I18" i="4" s="1"/>
  <c r="H22" i="4"/>
  <c r="I22" i="4" s="1"/>
  <c r="F27" i="4"/>
  <c r="H32" i="4"/>
  <c r="I32" i="4" s="1"/>
  <c r="H48" i="4"/>
  <c r="H50" i="4"/>
  <c r="I50" i="4" s="1"/>
  <c r="H54" i="4"/>
  <c r="I54" i="4" s="1"/>
  <c r="F59" i="4"/>
  <c r="H64" i="4"/>
  <c r="I64" i="4" s="1"/>
  <c r="F43" i="4"/>
  <c r="F10" i="4"/>
  <c r="H12" i="4"/>
  <c r="I12" i="4" s="1"/>
  <c r="F25" i="4"/>
  <c r="H28" i="4"/>
  <c r="I28" i="4" s="1"/>
  <c r="H37" i="4"/>
  <c r="I37" i="4" s="1"/>
  <c r="F42" i="4"/>
  <c r="H44" i="4"/>
  <c r="I44" i="4" s="1"/>
  <c r="F57" i="4"/>
  <c r="H60" i="4"/>
  <c r="I60" i="4" s="1"/>
  <c r="H69" i="4"/>
  <c r="I69" i="4" s="1"/>
  <c r="H75" i="4"/>
  <c r="I75" i="4" s="1"/>
  <c r="F70" i="4"/>
  <c r="F11" i="4"/>
  <c r="I38" i="4"/>
  <c r="H66" i="4"/>
  <c r="I66" i="4" s="1"/>
  <c r="I11" i="4"/>
  <c r="H21" i="4"/>
  <c r="I21" i="4" s="1"/>
  <c r="I27" i="4"/>
  <c r="I43" i="4"/>
  <c r="H53" i="4"/>
  <c r="I53" i="4" s="1"/>
  <c r="F21" i="4"/>
  <c r="D77" i="4"/>
  <c r="F19" i="3"/>
  <c r="F35" i="3"/>
  <c r="F43" i="3"/>
  <c r="F59" i="3"/>
  <c r="F67" i="3"/>
  <c r="H73" i="3"/>
  <c r="I73" i="3" s="1"/>
  <c r="F73" i="3"/>
  <c r="I56" i="4"/>
  <c r="H9" i="3"/>
  <c r="I9" i="3" s="1"/>
  <c r="F9" i="3"/>
  <c r="H17" i="3"/>
  <c r="I17" i="3" s="1"/>
  <c r="F17" i="3"/>
  <c r="H25" i="3"/>
  <c r="I25" i="3" s="1"/>
  <c r="F25" i="3"/>
  <c r="H33" i="3"/>
  <c r="I33" i="3" s="1"/>
  <c r="F33" i="3"/>
  <c r="H41" i="3"/>
  <c r="I41" i="3" s="1"/>
  <c r="F41" i="3"/>
  <c r="H49" i="3"/>
  <c r="I49" i="3" s="1"/>
  <c r="F49" i="3"/>
  <c r="H57" i="3"/>
  <c r="I57" i="3" s="1"/>
  <c r="F57" i="3"/>
  <c r="H65" i="3"/>
  <c r="I65" i="3" s="1"/>
  <c r="F65" i="3"/>
  <c r="G77" i="4"/>
  <c r="I25" i="4"/>
  <c r="F37" i="4"/>
  <c r="I57" i="4"/>
  <c r="F69" i="4"/>
  <c r="F74" i="3"/>
  <c r="C77" i="4"/>
  <c r="F53" i="4"/>
  <c r="H7" i="4"/>
  <c r="I7" i="4" s="1"/>
  <c r="F7" i="4"/>
  <c r="F30" i="4"/>
  <c r="C81" i="3"/>
  <c r="F78" i="3"/>
  <c r="F29" i="4"/>
  <c r="D81" i="3"/>
  <c r="F6" i="3"/>
  <c r="H19" i="3"/>
  <c r="I19" i="3" s="1"/>
  <c r="H35" i="3"/>
  <c r="I35" i="3" s="1"/>
  <c r="H43" i="3"/>
  <c r="I43" i="3" s="1"/>
  <c r="H59" i="3"/>
  <c r="I59" i="3" s="1"/>
  <c r="H67" i="3"/>
  <c r="I67" i="3" s="1"/>
  <c r="H13" i="4"/>
  <c r="I13" i="4" s="1"/>
  <c r="F14" i="4"/>
  <c r="H23" i="4"/>
  <c r="I23" i="4" s="1"/>
  <c r="F23" i="4"/>
  <c r="H45" i="4"/>
  <c r="I45" i="4" s="1"/>
  <c r="F46" i="4"/>
  <c r="H55" i="4"/>
  <c r="I55" i="4" s="1"/>
  <c r="F55" i="4"/>
  <c r="H31" i="4"/>
  <c r="I31" i="4" s="1"/>
  <c r="F31" i="4"/>
  <c r="H63" i="4"/>
  <c r="I63" i="4" s="1"/>
  <c r="F63" i="4"/>
  <c r="F75" i="3"/>
  <c r="F79" i="3"/>
  <c r="H39" i="4"/>
  <c r="I39" i="4" s="1"/>
  <c r="F39" i="4"/>
  <c r="I48" i="4"/>
  <c r="F62" i="4"/>
  <c r="I71" i="4"/>
  <c r="E77" i="4"/>
  <c r="F77" i="4" s="1"/>
  <c r="H6" i="4"/>
  <c r="I6" i="4" s="1"/>
  <c r="F61" i="4"/>
  <c r="F11" i="3"/>
  <c r="F27" i="3"/>
  <c r="F51" i="3"/>
  <c r="F6" i="4"/>
  <c r="H15" i="4"/>
  <c r="I15" i="4" s="1"/>
  <c r="F15" i="4"/>
  <c r="I24" i="4"/>
  <c r="F38" i="4"/>
  <c r="H47" i="4"/>
  <c r="I47" i="4" s="1"/>
  <c r="F47" i="4"/>
  <c r="F13" i="4"/>
  <c r="I33" i="4"/>
  <c r="F45" i="4"/>
  <c r="I65" i="4"/>
  <c r="F71" i="4"/>
  <c r="F8" i="4"/>
  <c r="F16" i="4"/>
  <c r="F24" i="4"/>
  <c r="F32" i="4"/>
  <c r="F40" i="4"/>
  <c r="F48" i="4"/>
  <c r="F56" i="4"/>
  <c r="F64" i="4"/>
  <c r="F72" i="4"/>
  <c r="F75" i="4"/>
  <c r="I81" i="3" l="1"/>
  <c r="H81" i="3" s="1"/>
  <c r="G81" i="3"/>
  <c r="E81" i="3"/>
  <c r="F81" i="3" s="1"/>
  <c r="I77" i="4"/>
  <c r="H77" i="4" s="1"/>
</calcChain>
</file>

<file path=xl/sharedStrings.xml><?xml version="1.0" encoding="utf-8"?>
<sst xmlns="http://schemas.openxmlformats.org/spreadsheetml/2006/main" count="667" uniqueCount="214">
  <si>
    <t>Product Name</t>
  </si>
  <si>
    <t>Category</t>
  </si>
  <si>
    <t>3 month revenue</t>
  </si>
  <si>
    <t>MRP Including GST</t>
  </si>
  <si>
    <t>MRP without GST</t>
  </si>
  <si>
    <t>Returns</t>
  </si>
  <si>
    <t>Discounts</t>
  </si>
  <si>
    <t>Net Revenue</t>
  </si>
  <si>
    <t>Cost of Material</t>
  </si>
  <si>
    <t>Gross margin</t>
  </si>
  <si>
    <t>Packaging Secondary</t>
  </si>
  <si>
    <t>Razorpay Deduction</t>
  </si>
  <si>
    <t>Shipping to Customer</t>
  </si>
  <si>
    <t>COD Costs</t>
  </si>
  <si>
    <t>CM 1</t>
  </si>
  <si>
    <t>Marketing Cost</t>
  </si>
  <si>
    <t>Units sold</t>
  </si>
  <si>
    <t>CM 2</t>
  </si>
  <si>
    <t>CM 2 %</t>
  </si>
  <si>
    <t>Overheads</t>
  </si>
  <si>
    <t>EBIDTA</t>
  </si>
  <si>
    <t>EBIDTA %</t>
  </si>
  <si>
    <t>magic paint dust</t>
  </si>
  <si>
    <t>Magic Paint Dust – Baby’s First Painting Kit</t>
  </si>
  <si>
    <t>Magic paint dust</t>
  </si>
  <si>
    <t>Playdough</t>
  </si>
  <si>
    <t>dabble Sensory Playdough</t>
  </si>
  <si>
    <t>FP8+CB</t>
  </si>
  <si>
    <t>Dabble Finger Painting Fun Pack</t>
  </si>
  <si>
    <t>Combo</t>
  </si>
  <si>
    <t>Canvas Kit</t>
  </si>
  <si>
    <t>Babyâ€™s first handprint and footprint kit</t>
  </si>
  <si>
    <t>SFP</t>
  </si>
  <si>
    <t>Mini Starter Finger Painting Fun Pack</t>
  </si>
  <si>
    <t>SFP+JB</t>
  </si>
  <si>
    <t>Babyâ€™s Starter Painting + Jumbo Brush Combo Kit</t>
  </si>
  <si>
    <t>B3</t>
  </si>
  <si>
    <t>Dabble Playart Chunkies</t>
  </si>
  <si>
    <t>Caryons</t>
  </si>
  <si>
    <t>FP8, B8, CB</t>
  </si>
  <si>
    <t>Little Artist Combo Kit</t>
  </si>
  <si>
    <t>SFP+CB</t>
  </si>
  <si>
    <t>Dabble Starter Painting + Chubby Brush Combo Kit</t>
  </si>
  <si>
    <t>FP3</t>
  </si>
  <si>
    <t>Dabble Finger Paints For Toddlers</t>
  </si>
  <si>
    <t>AR</t>
  </si>
  <si>
    <t>Dabble Art Roll</t>
  </si>
  <si>
    <t>magic paint dust+jb</t>
  </si>
  <si>
    <t>Magic Paint Dust + Jumbo Brush Combo Kit â€“ Babyâ€™s First Painting Kit</t>
  </si>
  <si>
    <t>SJ+B8</t>
  </si>
  <si>
    <t>My First Dabble Swinginâ€™ Jungle Adventure + Crayons Combo</t>
  </si>
  <si>
    <t>FP8+AR+CB</t>
  </si>
  <si>
    <t>Masterpiece Set</t>
  </si>
  <si>
    <t>MPD+AR</t>
  </si>
  <si>
    <t>Magic Paint Dust + PlayArt Roll â€“ Babyâ€™s First Painting Kit</t>
  </si>
  <si>
    <t>B3+AR</t>
  </si>
  <si>
    <t>Baby's First Art Set</t>
  </si>
  <si>
    <t>DP</t>
  </si>
  <si>
    <t>Dabble Reusable Colouring Pages Kit</t>
  </si>
  <si>
    <t>Apron</t>
  </si>
  <si>
    <t>Dabble Painting Art Apron</t>
  </si>
  <si>
    <t>ABC Kit</t>
  </si>
  <si>
    <t>My Dabble ABC Trace &amp; Colour Kit | Multi-Sensory Alphabet Learning for Kids</t>
  </si>
  <si>
    <t>FP8</t>
  </si>
  <si>
    <t>Dabble Playart Finger Paints</t>
  </si>
  <si>
    <t>Playdough+MPD</t>
  </si>
  <si>
    <t>Imagination Spark Kit | Dabble Sensory Play Dough + Magic Paint Dust</t>
  </si>
  <si>
    <t>Bubbles</t>
  </si>
  <si>
    <t>Dabble Magic Bubbles POP n PLAY</t>
  </si>
  <si>
    <t>FP3+B3+AR</t>
  </si>
  <si>
    <t>Dabble Starter Pack | Chunkies + Finger Paints + Art Roll</t>
  </si>
  <si>
    <t>Preschool kit</t>
  </si>
  <si>
    <t>Preschool Art and Craft Kit</t>
  </si>
  <si>
    <t>SJ+SFP+CB</t>
  </si>
  <si>
    <t>My First Dabble Swinginâ€™ Jungle Adventure + Mini Starter Fun Pack + Chubby Brushes Combo</t>
  </si>
  <si>
    <t>B8</t>
  </si>
  <si>
    <t>Dabble Playart Crayons</t>
  </si>
  <si>
    <t>SR</t>
  </si>
  <si>
    <t>Dabble Sensory Rice Play Kit</t>
  </si>
  <si>
    <t>Stamp kit</t>
  </si>
  <si>
    <t>My First Shape Explorer Stamp Kit</t>
  </si>
  <si>
    <t>SR+Playdough</t>
  </si>
  <si>
    <t>Sensory Discovery Kit | Dabble Sensory Rice + Sensory Play Dough</t>
  </si>
  <si>
    <t>FP3+JB</t>
  </si>
  <si>
    <t>Toddler's First Painting Set | Finger Paints + Jumbo Brushes</t>
  </si>
  <si>
    <t>Mini SPD</t>
  </si>
  <si>
    <t>Dabble DIY Sensory Playdough Kit</t>
  </si>
  <si>
    <t>DP+Playdough</t>
  </si>
  <si>
    <t>Endless Creations Pack | Dabble Reusable Colouring Pages + Sensory Play Dough</t>
  </si>
  <si>
    <t>Playdough+AR</t>
  </si>
  <si>
    <t>Little Makerâ€™s Set | Dabble Sensory Play Dough + Painting Apron</t>
  </si>
  <si>
    <t>B8+AR</t>
  </si>
  <si>
    <t>Toddlers First Colouring Set | Playart Crayons + Art Roll</t>
  </si>
  <si>
    <t>JB</t>
  </si>
  <si>
    <t>Dabble Jumbo Paint Brush Set</t>
  </si>
  <si>
    <t>Mini Dessert Party</t>
  </si>
  <si>
    <t>Dabble Dessert Party Pretend Playdough Set</t>
  </si>
  <si>
    <t>FP3+B3</t>
  </si>
  <si>
    <t>Dabble Gift Pack | Chunkies + Finger Paints</t>
  </si>
  <si>
    <t>B3+Playdough</t>
  </si>
  <si>
    <t>Creative Wonder Set | Dabble Play Art Chunkies + Sensory Play Dough</t>
  </si>
  <si>
    <t>Canvas</t>
  </si>
  <si>
    <t>Dabble Canvas Art Board</t>
  </si>
  <si>
    <t>MPD+AR+JB</t>
  </si>
  <si>
    <t>Magic Paint Dust + Jumbo Brush Combo Kit + PlayArt Roll â€“ Babyâ€™s First Painting Kit</t>
  </si>
  <si>
    <t>Dabble Baby's First Big Colouring Pages</t>
  </si>
  <si>
    <t>SJ</t>
  </si>
  <si>
    <t>My First Dabble Swinginâ€™ Jungle Adventure | Reusable Story Card Set</t>
  </si>
  <si>
    <t>DP+B8</t>
  </si>
  <si>
    <t>Dabble Reusable Colouring Pages + Crayons Combo Kit</t>
  </si>
  <si>
    <t>FP3+AR</t>
  </si>
  <si>
    <t>Multi Sensory Painting Set</t>
  </si>
  <si>
    <t>CB</t>
  </si>
  <si>
    <t>Dabble Chubby Brushes</t>
  </si>
  <si>
    <t>DP+SFP</t>
  </si>
  <si>
    <t>Dabble Reusable Colouring Pages + Mini Finger Paints Combo Kit</t>
  </si>
  <si>
    <t>Magic Dough</t>
  </si>
  <si>
    <t>Dabble Magic Dough Lab â€” Colour Mixing STEAM Kit</t>
  </si>
  <si>
    <t>Puzzle Kit</t>
  </si>
  <si>
    <t>My First Dabble Puzzle Colouring Set - Emotions, Shapes &amp; Colours</t>
  </si>
  <si>
    <t>Dino Kit</t>
  </si>
  <si>
    <t>Dabble DINOSAUR STENCIL ART &amp; CRAFT Kit</t>
  </si>
  <si>
    <t>A1 Kit</t>
  </si>
  <si>
    <t>All In One Paint Kit</t>
  </si>
  <si>
    <t>FP8+CB+Apron</t>
  </si>
  <si>
    <t>Dabble Finger Painting Super Pack</t>
  </si>
  <si>
    <t>Unicorn Kit</t>
  </si>
  <si>
    <t>Dabble UNICORN STENCIL ART &amp; CRAFT Kit</t>
  </si>
  <si>
    <t>A1 Kit+B8</t>
  </si>
  <si>
    <t>All In One Paint Kit + Playart Crayons Combo</t>
  </si>
  <si>
    <t>India Map Kit</t>
  </si>
  <si>
    <t>My dabble India Map Art | India maps for kids learning</t>
  </si>
  <si>
    <t>SFP+Apron</t>
  </si>
  <si>
    <t>Dabble Starter Finger Painting Fun Pack + Apron ComboKit</t>
  </si>
  <si>
    <t>FP8+Canvs</t>
  </si>
  <si>
    <t>Dabble Finger Paints + Canvas Art Board</t>
  </si>
  <si>
    <t>SFP+CB+Canvas</t>
  </si>
  <si>
    <t>Dabble Playtime Prep Kit</t>
  </si>
  <si>
    <t>Activity Pack</t>
  </si>
  <si>
    <t>A-Z Alphabet Printable Activity Pack</t>
  </si>
  <si>
    <t>Glue</t>
  </si>
  <si>
    <t>Dabble Chunky Glue</t>
  </si>
  <si>
    <t>SFP+CB+Apron</t>
  </si>
  <si>
    <t>Dabble Essentials Pack</t>
  </si>
  <si>
    <t>Dino+B8</t>
  </si>
  <si>
    <t>Flip Flap Crayon Play Pack Dinosaur Themed | Activity Book with Crayons |</t>
  </si>
  <si>
    <t>SJ+SFP</t>
  </si>
  <si>
    <t>My First Dabble Swinginâ€™ Jungle Adventure + Mini Starter Fun Pack Combo</t>
  </si>
  <si>
    <t>FP3+CB</t>
  </si>
  <si>
    <t>Dabble Painting set | Finger Paints + Chubby Brushes</t>
  </si>
  <si>
    <t>FP3+Glue+AR+B3</t>
  </si>
  <si>
    <t>My First Dabble Art Set For Toddlers</t>
  </si>
  <si>
    <t>CC8+DP</t>
  </si>
  <si>
    <t>Dabble Christmas Crayons + Dabble Pages</t>
  </si>
  <si>
    <t>NA</t>
  </si>
  <si>
    <t>SFP+AR+Apron</t>
  </si>
  <si>
    <t>Dabble Sensory Painting Kit</t>
  </si>
  <si>
    <t>Glue+FP3+B8</t>
  </si>
  <si>
    <t>Dabble 3 In 1 Easy-Clean Fun Pack</t>
  </si>
  <si>
    <t>Canvas &amp; Stand</t>
  </si>
  <si>
    <t>Canvas and Stand</t>
  </si>
  <si>
    <t>FF Unicorn + Dino</t>
  </si>
  <si>
    <t>Flip Flap Play Pack | Activity Book |</t>
  </si>
  <si>
    <t>FF Unicorn</t>
  </si>
  <si>
    <t>Dabble Flip Flap Dress-Up Your Own Unicorn &amp; Princesses | Travel-Friendly No Mess DIY Activity Set</t>
  </si>
  <si>
    <t>Numbers 1-10 Printable Activity Pack</t>
  </si>
  <si>
    <t>DP+Glue</t>
  </si>
  <si>
    <t>Dabble Reusable Colouring Pages + Glue Combo Kit</t>
  </si>
  <si>
    <t>ABC Crayons</t>
  </si>
  <si>
    <t>My Dabble ABC Trace &amp; Colour Kit | Multi-Sensory Alphabet Learning for Kids - Crayons</t>
  </si>
  <si>
    <t>FF Dino</t>
  </si>
  <si>
    <t>Dabble Flip Flap Make Your Own Dinosaur | Travel-Friendly No Mess DIY Activity Set</t>
  </si>
  <si>
    <t>P&amp;B</t>
  </si>
  <si>
    <t>Palette &amp; Brush</t>
  </si>
  <si>
    <t>Bake dough- (Green)</t>
  </si>
  <si>
    <t>Bakedough-Pizza Blue</t>
  </si>
  <si>
    <t>Bakedough-Pizza Green</t>
  </si>
  <si>
    <t>B8+FP3+AR</t>
  </si>
  <si>
    <t>Dabble Combo Pack | Crayons + Finger Paints + Art Roll</t>
  </si>
  <si>
    <t>Dabble DINOSAUR STENCIL ART &amp; CRAFT Kit - Pack of 1</t>
  </si>
  <si>
    <t>Dabble DINOSAUR STENCIL ART &amp; CRAFT Kit - Pack of 10</t>
  </si>
  <si>
    <t>Dabble DINOSAUR STENCIL ART &amp; CRAFT Kit - Pack of 5</t>
  </si>
  <si>
    <t>Dabble DINOSAUR STENCIL ART &amp;amp; CRAFT Kit - Pack of 5</t>
  </si>
  <si>
    <t>Dabble Flip Flap Dress-Up Your Own Unicorn &amp; Princesses | Travel-Friendly No Mess DIY Activity Set -</t>
  </si>
  <si>
    <t>Dabble Flip Flap Make Your Own Dinosaur | Travel-Friendly No Mess DIY Activity Set - Dinosaur</t>
  </si>
  <si>
    <t>Dabble Flip Flap Make Your Own Dinosaur | Travel-Friendly No Mess DIY Activity Set - Unicorn &amp; Princ</t>
  </si>
  <si>
    <t>Dino Patch</t>
  </si>
  <si>
    <t>Dabble Iron On Patch - Dinosaur</t>
  </si>
  <si>
    <t>Unicorn Patch</t>
  </si>
  <si>
    <t>Dabble Iron On Patch - Unicorn</t>
  </si>
  <si>
    <t>Dabble UNICORN STENCIL ART &amp; CRAFT Kit - Pack of 1</t>
  </si>
  <si>
    <t>Dabble UNICORN STENCIL ART &amp; CRAFT Kit - Pack of 10</t>
  </si>
  <si>
    <t>Dabble UNICORN STENCIL ART &amp; CRAFT Kit - Pack of 5</t>
  </si>
  <si>
    <t>Digital Playbook</t>
  </si>
  <si>
    <t>Digital Playbook worth â‚¹499</t>
  </si>
  <si>
    <t>Digital Book</t>
  </si>
  <si>
    <t>FF Unicorn+B8</t>
  </si>
  <si>
    <t>Flip Flap Crayon Play Pack Unicorn &amp; Princesses Themed | Activity Book with Crayons |</t>
  </si>
  <si>
    <t>FP3+B8</t>
  </si>
  <si>
    <t>Dabble Gift Set | Crayons + Finger Paints</t>
  </si>
  <si>
    <t>Jan-Mar Summary — Unit Cost Economics</t>
  </si>
  <si>
    <t>Average CAC (₹) — fixed input:</t>
  </si>
  <si>
    <t>Product</t>
  </si>
  <si>
    <t>MRP (₹)</t>
  </si>
  <si>
    <t>Units (3mo)</t>
  </si>
  <si>
    <t>Revenue (₹)</t>
  </si>
  <si>
    <t>GM/unit (₹)</t>
  </si>
  <si>
    <t>GM %</t>
  </si>
  <si>
    <t>Shipping/unit (₹)</t>
  </si>
  <si>
    <t>Profit/unit after ads+ship (₹)</t>
  </si>
  <si>
    <t>3-mo profit (₹)</t>
  </si>
  <si>
    <t>GRAND TOTAL</t>
  </si>
  <si>
    <t>—</t>
  </si>
  <si>
    <t>Apr-Jun Summary — Unit Cost Economics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</si>
</sst>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₹#,##0"/>
    <numFmt numFmtId="165" formatCode="0.0%"/>
    <numFmt numFmtId="166" formatCode="&quot;₹+&quot;0;&quot;₹-&quot;0;\₹0"/>
  </numFmts>
  <fonts count="7" x14ac:knownFonts="1">
    <font>
      <sz val="11"/>
      <color theme="1"/>
      <name val="Calibri"/>
      <family val="2"/>
      <charset val="1"/>
    </font>
    <font>
      <b/>
      <sz val="14"/>
      <name val="Arial"/>
      <family val="2"/>
    </font>
    <font>
      <i/>
      <sz val="9"/>
      <color rgb="FF808080"/>
      <name val="Arial"/>
      <family val="2"/>
    </font>
    <font>
      <b/>
      <sz val="10"/>
      <name val="Arial"/>
      <family val="2"/>
    </font>
    <font>
      <b/>
      <sz val="10"/>
      <color rgb="FF0000FF"/>
      <name val="Arial"/>
      <family val="2"/>
    </font>
    <font>
      <sz val="10"/>
      <name val="Arial"/>
      <family val="2"/>
    </font>
    <font>
      <b/>
      <sz val="10"/>
      <color theme="5" tint="-0.499984740745262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5" tint="0.79989013336588644"/>
        <bgColor rgb="FFFFF2CC"/>
      </patternFill>
    </fill>
    <fill>
      <patternFill patternType="solid">
        <fgColor theme="7" tint="0.79989013336588644"/>
        <bgColor rgb="FFFBE5D6"/>
      </patternFill>
    </fill>
    <fill>
      <patternFill patternType="solid">
        <fgColor rgb="FFFFFF00"/>
        <bgColor rgb="FFFFFF00"/>
      </patternFill>
    </fill>
    <fill>
      <patternFill patternType="solid">
        <fgColor rgb="FFD9E1F2"/>
        <bgColor rgb="FFC6EFCE"/>
      </patternFill>
    </fill>
    <fill>
      <patternFill patternType="solid">
        <fgColor theme="7" tint="0.79998168889431442"/>
        <bgColor rgb="FF333333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double">
        <color auto="1"/>
      </top>
      <bottom style="thin">
        <color rgb="FFBFBFBF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2" borderId="1" xfId="0" applyFill="1" applyBorder="1"/>
    <xf numFmtId="10" fontId="0" fillId="0" borderId="0" xfId="0" applyNumberFormat="1"/>
    <xf numFmtId="0" fontId="0" fillId="3" borderId="1" xfId="0" applyFill="1" applyBorder="1"/>
    <xf numFmtId="0" fontId="1" fillId="0" borderId="0" xfId="0" applyFont="1"/>
    <xf numFmtId="0" fontId="2" fillId="0" borderId="0" xfId="0" applyFont="1"/>
    <xf numFmtId="0" fontId="3" fillId="0" borderId="0" xfId="0" applyFont="1"/>
    <xf numFmtId="164" fontId="4" fillId="4" borderId="0" xfId="0" applyNumberFormat="1" applyFont="1" applyFill="1"/>
    <xf numFmtId="0" fontId="5" fillId="0" borderId="2" xfId="0" applyFont="1" applyBorder="1"/>
    <xf numFmtId="164" fontId="5" fillId="0" borderId="2" xfId="0" applyNumberFormat="1" applyFont="1" applyBorder="1"/>
    <xf numFmtId="3" fontId="5" fillId="0" borderId="2" xfId="0" applyNumberFormat="1" applyFont="1" applyBorder="1"/>
    <xf numFmtId="165" fontId="5" fillId="0" borderId="2" xfId="0" applyNumberFormat="1" applyFont="1" applyBorder="1"/>
    <xf numFmtId="166" fontId="5" fillId="0" borderId="2" xfId="0" applyNumberFormat="1" applyFont="1" applyBorder="1"/>
    <xf numFmtId="0" fontId="3" fillId="5" borderId="3" xfId="0" applyFont="1" applyFill="1" applyBorder="1"/>
    <xf numFmtId="3" fontId="3" fillId="5" borderId="3" xfId="0" applyNumberFormat="1" applyFont="1" applyFill="1" applyBorder="1"/>
    <xf numFmtId="164" fontId="3" fillId="5" borderId="3" xfId="0" applyNumberFormat="1" applyFont="1" applyFill="1" applyBorder="1"/>
    <xf numFmtId="165" fontId="3" fillId="5" borderId="3" xfId="0" applyNumberFormat="1" applyFont="1" applyFill="1" applyBorder="1"/>
    <xf numFmtId="166" fontId="3" fillId="5" borderId="3" xfId="0" applyNumberFormat="1" applyFont="1" applyFill="1" applyBorder="1"/>
    <xf numFmtId="0" fontId="6" fillId="6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4">
    <dxf>
      <font>
        <sz val="10"/>
        <color rgb="FF9C0006"/>
        <name val="Arial"/>
        <charset val="1"/>
      </font>
      <fill>
        <patternFill>
          <bgColor rgb="FFFFC7CE"/>
        </patternFill>
      </fill>
    </dxf>
    <dxf>
      <font>
        <sz val="10"/>
        <color rgb="FF006100"/>
        <name val="Arial"/>
        <charset val="1"/>
      </font>
      <fill>
        <patternFill>
          <bgColor rgb="FFC6EFCE"/>
        </patternFill>
      </fill>
    </dxf>
    <dxf>
      <font>
        <sz val="10"/>
        <color rgb="FF9C0006"/>
        <name val="Arial"/>
        <charset val="1"/>
      </font>
      <fill>
        <patternFill>
          <bgColor rgb="FFFFC7CE"/>
        </patternFill>
      </fill>
    </dxf>
    <dxf>
      <font>
        <sz val="10"/>
        <color rgb="FF006100"/>
        <name val="Arial"/>
        <charset val="1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BE5D6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94"/>
  <sheetViews>
    <sheetView zoomScaleNormal="100" workbookViewId="0">
      <selection activeCell="B5" sqref="B5"/>
    </sheetView>
  </sheetViews>
  <sheetFormatPr defaultColWidth="8.6328125" defaultRowHeight="14.5" x14ac:dyDescent="0.35"/>
  <cols>
    <col min="1" max="1" width="17.26953125" customWidth="1"/>
    <col min="2" max="2" width="26.36328125" customWidth="1"/>
  </cols>
  <sheetData>
    <row r="1" spans="1:23" x14ac:dyDescent="0.35">
      <c r="A1" s="1" t="s">
        <v>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</row>
    <row r="2" spans="1:23" x14ac:dyDescent="0.35">
      <c r="A2" t="s">
        <v>22</v>
      </c>
      <c r="B2" t="s">
        <v>23</v>
      </c>
      <c r="C2" t="s">
        <v>24</v>
      </c>
      <c r="D2">
        <v>449500</v>
      </c>
      <c r="E2">
        <v>899</v>
      </c>
      <c r="F2">
        <v>762</v>
      </c>
      <c r="G2">
        <v>7.7</v>
      </c>
      <c r="H2">
        <v>10.6</v>
      </c>
      <c r="I2">
        <v>743.5</v>
      </c>
      <c r="J2">
        <v>126.3</v>
      </c>
      <c r="K2">
        <v>617.20000000000005</v>
      </c>
      <c r="L2">
        <v>12.5</v>
      </c>
      <c r="M2">
        <v>6.31</v>
      </c>
      <c r="N2">
        <v>138.62</v>
      </c>
      <c r="O2">
        <v>3.2</v>
      </c>
      <c r="P2">
        <v>456.6</v>
      </c>
      <c r="Q2">
        <v>910.55</v>
      </c>
      <c r="R2">
        <v>500</v>
      </c>
      <c r="S2">
        <v>-453.9</v>
      </c>
      <c r="T2" s="2">
        <v>-0.61050000000000004</v>
      </c>
      <c r="U2">
        <v>270</v>
      </c>
      <c r="V2">
        <v>-723.9</v>
      </c>
      <c r="W2" s="2">
        <v>-0.97360000000000002</v>
      </c>
    </row>
    <row r="3" spans="1:23" x14ac:dyDescent="0.35">
      <c r="A3" t="s">
        <v>25</v>
      </c>
      <c r="B3" t="s">
        <v>26</v>
      </c>
      <c r="C3" t="s">
        <v>25</v>
      </c>
      <c r="D3">
        <v>266104</v>
      </c>
      <c r="E3">
        <v>899</v>
      </c>
      <c r="F3">
        <v>762</v>
      </c>
      <c r="G3">
        <v>7.7</v>
      </c>
      <c r="H3">
        <v>12.6</v>
      </c>
      <c r="I3">
        <v>741.5</v>
      </c>
      <c r="J3">
        <v>124.49</v>
      </c>
      <c r="K3">
        <v>617</v>
      </c>
      <c r="L3">
        <v>12.5</v>
      </c>
      <c r="M3">
        <v>6.31</v>
      </c>
      <c r="N3">
        <v>121.69</v>
      </c>
      <c r="O3">
        <v>3.2</v>
      </c>
      <c r="P3">
        <v>473.3</v>
      </c>
      <c r="Q3">
        <v>1096.97</v>
      </c>
      <c r="R3">
        <v>296</v>
      </c>
      <c r="S3">
        <v>-623.6</v>
      </c>
      <c r="T3" s="2">
        <v>-0.84099999999999997</v>
      </c>
      <c r="U3">
        <v>270</v>
      </c>
      <c r="V3">
        <v>-893.6</v>
      </c>
      <c r="W3" s="2">
        <v>-1.2051000000000001</v>
      </c>
    </row>
    <row r="4" spans="1:23" x14ac:dyDescent="0.35">
      <c r="A4" t="s">
        <v>27</v>
      </c>
      <c r="B4" t="s">
        <v>28</v>
      </c>
      <c r="C4" t="s">
        <v>29</v>
      </c>
      <c r="D4">
        <v>144640</v>
      </c>
      <c r="E4">
        <v>1348</v>
      </c>
      <c r="F4">
        <v>1142</v>
      </c>
      <c r="G4">
        <v>7.7</v>
      </c>
      <c r="H4">
        <v>23.9</v>
      </c>
      <c r="I4">
        <v>1110.7</v>
      </c>
      <c r="J4">
        <v>238.12</v>
      </c>
      <c r="K4">
        <v>872.6</v>
      </c>
      <c r="L4">
        <v>14.5</v>
      </c>
      <c r="M4">
        <v>6.31</v>
      </c>
      <c r="N4">
        <v>239.89</v>
      </c>
      <c r="O4">
        <v>3.2</v>
      </c>
      <c r="P4">
        <v>608.70000000000005</v>
      </c>
      <c r="Q4">
        <v>686.3</v>
      </c>
      <c r="R4">
        <v>113</v>
      </c>
      <c r="S4">
        <v>-77.599999999999994</v>
      </c>
      <c r="T4" s="2">
        <v>-6.9900000000000004E-2</v>
      </c>
      <c r="U4">
        <v>270</v>
      </c>
      <c r="V4">
        <v>-347.6</v>
      </c>
      <c r="W4" s="2">
        <v>-0.313</v>
      </c>
    </row>
    <row r="5" spans="1:23" x14ac:dyDescent="0.35">
      <c r="A5" t="s">
        <v>30</v>
      </c>
      <c r="B5" t="s">
        <v>31</v>
      </c>
      <c r="C5" t="s">
        <v>30</v>
      </c>
      <c r="D5">
        <v>141482</v>
      </c>
      <c r="E5">
        <v>649</v>
      </c>
      <c r="F5">
        <v>550</v>
      </c>
      <c r="G5">
        <v>7.7</v>
      </c>
      <c r="H5">
        <v>5.6</v>
      </c>
      <c r="I5">
        <v>536.70000000000005</v>
      </c>
      <c r="J5">
        <v>70.099999999999994</v>
      </c>
      <c r="K5">
        <v>466.6</v>
      </c>
      <c r="L5">
        <v>12.5</v>
      </c>
      <c r="M5">
        <v>6.31</v>
      </c>
      <c r="N5">
        <v>149.28</v>
      </c>
      <c r="O5">
        <v>3.2</v>
      </c>
      <c r="P5">
        <v>295.3</v>
      </c>
      <c r="Q5">
        <v>799.95</v>
      </c>
      <c r="R5">
        <v>218</v>
      </c>
      <c r="S5">
        <v>-504.7</v>
      </c>
      <c r="T5" s="2">
        <v>-0.94030000000000002</v>
      </c>
      <c r="U5">
        <v>270</v>
      </c>
      <c r="V5">
        <v>-774.7</v>
      </c>
      <c r="W5" s="2">
        <v>-1.4434</v>
      </c>
    </row>
    <row r="6" spans="1:23" x14ac:dyDescent="0.35">
      <c r="A6" t="s">
        <v>32</v>
      </c>
      <c r="B6" t="s">
        <v>33</v>
      </c>
      <c r="C6" t="s">
        <v>32</v>
      </c>
      <c r="D6">
        <v>136572</v>
      </c>
      <c r="E6">
        <v>599</v>
      </c>
      <c r="F6">
        <v>508</v>
      </c>
      <c r="G6">
        <v>7.7</v>
      </c>
      <c r="H6">
        <v>5.6</v>
      </c>
      <c r="I6">
        <v>494.3</v>
      </c>
      <c r="J6">
        <v>89.33</v>
      </c>
      <c r="K6">
        <v>405</v>
      </c>
      <c r="L6">
        <v>6.5</v>
      </c>
      <c r="M6">
        <v>6.31</v>
      </c>
      <c r="N6">
        <v>165.4</v>
      </c>
      <c r="O6">
        <v>3.2</v>
      </c>
      <c r="P6">
        <v>223.5</v>
      </c>
      <c r="Q6">
        <v>426.91</v>
      </c>
      <c r="R6">
        <v>228</v>
      </c>
      <c r="S6">
        <v>-203.4</v>
      </c>
      <c r="T6" s="2">
        <v>-0.41139999999999999</v>
      </c>
      <c r="U6">
        <v>270</v>
      </c>
      <c r="V6">
        <v>-473.4</v>
      </c>
      <c r="W6" s="2">
        <v>-0.9577</v>
      </c>
    </row>
    <row r="7" spans="1:23" x14ac:dyDescent="0.35">
      <c r="A7" t="s">
        <v>34</v>
      </c>
      <c r="B7" t="s">
        <v>35</v>
      </c>
      <c r="C7" t="s">
        <v>29</v>
      </c>
      <c r="D7">
        <v>111601</v>
      </c>
      <c r="E7">
        <v>1098</v>
      </c>
      <c r="F7">
        <v>931</v>
      </c>
      <c r="G7">
        <v>7.7</v>
      </c>
      <c r="H7">
        <v>12.8</v>
      </c>
      <c r="I7">
        <v>910</v>
      </c>
      <c r="J7">
        <v>117.5</v>
      </c>
      <c r="K7">
        <v>792.5</v>
      </c>
      <c r="L7">
        <v>11.5</v>
      </c>
      <c r="M7">
        <v>6.31</v>
      </c>
      <c r="N7">
        <v>149.72</v>
      </c>
      <c r="O7">
        <v>3.2</v>
      </c>
      <c r="P7">
        <v>621.79999999999995</v>
      </c>
      <c r="Q7">
        <v>459.32</v>
      </c>
      <c r="R7">
        <v>107</v>
      </c>
      <c r="S7">
        <v>162.5</v>
      </c>
      <c r="T7" s="2">
        <v>0.17860000000000001</v>
      </c>
      <c r="U7">
        <v>270</v>
      </c>
      <c r="V7">
        <v>-107.5</v>
      </c>
      <c r="W7" s="2">
        <v>-0.1181</v>
      </c>
    </row>
    <row r="8" spans="1:23" x14ac:dyDescent="0.35">
      <c r="A8" t="s">
        <v>36</v>
      </c>
      <c r="B8" t="s">
        <v>37</v>
      </c>
      <c r="C8" t="s">
        <v>38</v>
      </c>
      <c r="D8">
        <v>96426</v>
      </c>
      <c r="E8">
        <v>549</v>
      </c>
      <c r="F8">
        <v>465</v>
      </c>
      <c r="G8">
        <v>7.7</v>
      </c>
      <c r="H8">
        <v>7.8</v>
      </c>
      <c r="I8">
        <v>449.8</v>
      </c>
      <c r="J8">
        <v>65.5</v>
      </c>
      <c r="K8">
        <v>384.3</v>
      </c>
      <c r="L8">
        <v>5</v>
      </c>
      <c r="M8">
        <v>6.31</v>
      </c>
      <c r="N8">
        <v>104.6</v>
      </c>
      <c r="O8">
        <v>3.2</v>
      </c>
      <c r="P8">
        <v>265.2</v>
      </c>
      <c r="Q8">
        <v>551.1</v>
      </c>
      <c r="R8">
        <v>164</v>
      </c>
      <c r="S8">
        <v>-285.89999999999998</v>
      </c>
      <c r="T8" s="2">
        <v>-0.63580000000000003</v>
      </c>
      <c r="U8">
        <v>270</v>
      </c>
      <c r="V8">
        <v>-555.9</v>
      </c>
      <c r="W8" s="2">
        <v>-1.2361</v>
      </c>
    </row>
    <row r="9" spans="1:23" x14ac:dyDescent="0.35">
      <c r="A9" t="s">
        <v>39</v>
      </c>
      <c r="B9" t="s">
        <v>40</v>
      </c>
      <c r="C9" t="s">
        <v>29</v>
      </c>
      <c r="D9">
        <v>69987</v>
      </c>
      <c r="E9">
        <v>1797</v>
      </c>
      <c r="F9">
        <v>1523</v>
      </c>
      <c r="G9">
        <v>7.7</v>
      </c>
      <c r="H9">
        <v>39.299999999999997</v>
      </c>
      <c r="I9">
        <v>1475.9</v>
      </c>
      <c r="J9">
        <v>254.99</v>
      </c>
      <c r="K9">
        <v>1220.9000000000001</v>
      </c>
      <c r="L9">
        <v>19.5</v>
      </c>
      <c r="M9">
        <v>6.31</v>
      </c>
      <c r="N9">
        <v>248.98</v>
      </c>
      <c r="O9">
        <v>3.2</v>
      </c>
      <c r="P9">
        <v>942.9</v>
      </c>
      <c r="Q9">
        <v>1366.32</v>
      </c>
      <c r="R9">
        <v>41</v>
      </c>
      <c r="S9">
        <v>-423.4</v>
      </c>
      <c r="T9" s="2">
        <v>-0.28689999999999999</v>
      </c>
      <c r="U9">
        <v>270</v>
      </c>
      <c r="V9">
        <v>-693.4</v>
      </c>
      <c r="W9" s="2">
        <v>-0.4698</v>
      </c>
    </row>
    <row r="10" spans="1:23" x14ac:dyDescent="0.35">
      <c r="A10" t="s">
        <v>41</v>
      </c>
      <c r="B10" t="s">
        <v>42</v>
      </c>
      <c r="C10" t="s">
        <v>29</v>
      </c>
      <c r="D10">
        <v>67660</v>
      </c>
      <c r="E10">
        <v>1048</v>
      </c>
      <c r="F10">
        <v>888</v>
      </c>
      <c r="G10">
        <v>7.7</v>
      </c>
      <c r="H10">
        <v>13.4</v>
      </c>
      <c r="I10">
        <v>867</v>
      </c>
      <c r="J10">
        <v>165.73</v>
      </c>
      <c r="K10">
        <v>701.3</v>
      </c>
      <c r="L10">
        <v>11.5</v>
      </c>
      <c r="M10">
        <v>6.31</v>
      </c>
      <c r="N10">
        <v>152.47</v>
      </c>
      <c r="O10">
        <v>3.2</v>
      </c>
      <c r="P10">
        <v>527.79999999999995</v>
      </c>
      <c r="Q10">
        <v>462.44</v>
      </c>
      <c r="R10">
        <v>68</v>
      </c>
      <c r="S10">
        <v>65.3</v>
      </c>
      <c r="T10" s="2">
        <v>7.5399999999999995E-2</v>
      </c>
      <c r="U10">
        <v>270</v>
      </c>
      <c r="V10">
        <v>-204.7</v>
      </c>
      <c r="W10" s="2">
        <v>-0.2361</v>
      </c>
    </row>
    <row r="11" spans="1:23" x14ac:dyDescent="0.35">
      <c r="A11" t="s">
        <v>43</v>
      </c>
      <c r="B11" t="s">
        <v>44</v>
      </c>
      <c r="C11" t="s">
        <v>43</v>
      </c>
      <c r="D11">
        <v>67496</v>
      </c>
      <c r="E11">
        <v>649</v>
      </c>
      <c r="F11">
        <v>550</v>
      </c>
      <c r="G11">
        <v>7.7</v>
      </c>
      <c r="H11">
        <v>7.6</v>
      </c>
      <c r="I11">
        <v>534.70000000000005</v>
      </c>
      <c r="J11">
        <v>62.96</v>
      </c>
      <c r="K11">
        <v>471.8</v>
      </c>
      <c r="L11">
        <v>6.5</v>
      </c>
      <c r="M11">
        <v>6.31</v>
      </c>
      <c r="N11">
        <v>139.34</v>
      </c>
      <c r="O11">
        <v>3.2</v>
      </c>
      <c r="P11">
        <v>316.39999999999998</v>
      </c>
      <c r="Q11">
        <v>587.5</v>
      </c>
      <c r="R11">
        <v>104</v>
      </c>
      <c r="S11">
        <v>-271.10000000000002</v>
      </c>
      <c r="T11" s="2">
        <v>-0.50690000000000002</v>
      </c>
      <c r="U11">
        <v>270</v>
      </c>
      <c r="V11">
        <v>-541.1</v>
      </c>
      <c r="W11" s="2">
        <v>-1.0118</v>
      </c>
    </row>
    <row r="12" spans="1:23" x14ac:dyDescent="0.35">
      <c r="A12" t="s">
        <v>45</v>
      </c>
      <c r="B12" t="s">
        <v>46</v>
      </c>
      <c r="C12" t="s">
        <v>45</v>
      </c>
      <c r="D12">
        <v>63609</v>
      </c>
      <c r="E12">
        <v>699</v>
      </c>
      <c r="F12">
        <v>592</v>
      </c>
      <c r="G12">
        <v>7.7</v>
      </c>
      <c r="H12">
        <v>11.4</v>
      </c>
      <c r="I12">
        <v>573.29999999999995</v>
      </c>
      <c r="J12">
        <v>131</v>
      </c>
      <c r="K12">
        <v>442.3</v>
      </c>
      <c r="L12">
        <v>8.5</v>
      </c>
      <c r="M12">
        <v>6.31</v>
      </c>
      <c r="N12">
        <v>187.3</v>
      </c>
      <c r="O12">
        <v>3.2</v>
      </c>
      <c r="P12">
        <v>237</v>
      </c>
      <c r="Q12">
        <v>336.4</v>
      </c>
      <c r="R12">
        <v>91</v>
      </c>
      <c r="S12">
        <v>-99.4</v>
      </c>
      <c r="T12" s="2">
        <v>-0.1734</v>
      </c>
      <c r="U12">
        <v>270</v>
      </c>
      <c r="V12">
        <v>-369.4</v>
      </c>
      <c r="W12" s="2">
        <v>-0.64439999999999997</v>
      </c>
    </row>
    <row r="13" spans="1:23" x14ac:dyDescent="0.35">
      <c r="A13" t="s">
        <v>47</v>
      </c>
      <c r="B13" t="s">
        <v>48</v>
      </c>
      <c r="C13" t="s">
        <v>29</v>
      </c>
      <c r="D13">
        <v>59760</v>
      </c>
      <c r="E13">
        <v>1398</v>
      </c>
      <c r="F13">
        <v>1185</v>
      </c>
      <c r="G13">
        <v>7.7</v>
      </c>
      <c r="H13">
        <v>24.8</v>
      </c>
      <c r="I13">
        <v>1152.3</v>
      </c>
      <c r="J13">
        <v>182</v>
      </c>
      <c r="K13">
        <v>970.3</v>
      </c>
      <c r="L13">
        <v>17.5</v>
      </c>
      <c r="M13">
        <v>6.31</v>
      </c>
      <c r="N13">
        <v>176.18</v>
      </c>
      <c r="O13">
        <v>3.2</v>
      </c>
      <c r="P13">
        <v>767.1</v>
      </c>
      <c r="Q13">
        <v>1121.77</v>
      </c>
      <c r="R13">
        <v>45</v>
      </c>
      <c r="S13">
        <v>-354.7</v>
      </c>
      <c r="T13" s="2">
        <v>-0.30780000000000002</v>
      </c>
      <c r="U13">
        <v>270</v>
      </c>
      <c r="V13">
        <v>-624.70000000000005</v>
      </c>
      <c r="W13" s="2">
        <v>-0.54220000000000002</v>
      </c>
    </row>
    <row r="14" spans="1:23" x14ac:dyDescent="0.35">
      <c r="A14" t="s">
        <v>49</v>
      </c>
      <c r="B14" t="s">
        <v>50</v>
      </c>
      <c r="C14" t="s">
        <v>29</v>
      </c>
      <c r="D14">
        <v>57600</v>
      </c>
      <c r="E14">
        <v>948</v>
      </c>
      <c r="F14">
        <v>803</v>
      </c>
      <c r="G14">
        <v>7.7</v>
      </c>
      <c r="H14">
        <v>14.2</v>
      </c>
      <c r="I14">
        <v>781.5</v>
      </c>
      <c r="J14">
        <v>145.16</v>
      </c>
      <c r="K14">
        <v>636.29999999999995</v>
      </c>
      <c r="L14">
        <v>13.5</v>
      </c>
      <c r="M14">
        <v>6.31</v>
      </c>
      <c r="N14">
        <v>150.25</v>
      </c>
      <c r="O14">
        <v>3.2</v>
      </c>
      <c r="P14">
        <v>463</v>
      </c>
      <c r="Q14">
        <v>479.63</v>
      </c>
      <c r="R14">
        <v>64</v>
      </c>
      <c r="S14">
        <v>-16.600000000000001</v>
      </c>
      <c r="T14" s="2">
        <v>-2.12E-2</v>
      </c>
      <c r="U14">
        <v>270</v>
      </c>
      <c r="V14">
        <v>-286.60000000000002</v>
      </c>
      <c r="W14" s="2">
        <v>-0.36670000000000003</v>
      </c>
    </row>
    <row r="15" spans="1:23" x14ac:dyDescent="0.35">
      <c r="A15" t="s">
        <v>51</v>
      </c>
      <c r="B15" t="s">
        <v>52</v>
      </c>
      <c r="C15" t="s">
        <v>29</v>
      </c>
      <c r="D15">
        <v>56376</v>
      </c>
      <c r="E15">
        <v>2047</v>
      </c>
      <c r="F15">
        <v>1735</v>
      </c>
      <c r="G15">
        <v>7.7</v>
      </c>
      <c r="H15">
        <v>42.6</v>
      </c>
      <c r="I15">
        <v>1684.5</v>
      </c>
      <c r="J15">
        <v>325.10000000000002</v>
      </c>
      <c r="K15">
        <v>1359.4</v>
      </c>
      <c r="L15">
        <v>23</v>
      </c>
      <c r="M15">
        <v>6.31</v>
      </c>
      <c r="N15">
        <v>359.43</v>
      </c>
      <c r="O15">
        <v>3.2</v>
      </c>
      <c r="P15">
        <v>967.4</v>
      </c>
      <c r="Q15">
        <v>496.93</v>
      </c>
      <c r="R15">
        <v>29</v>
      </c>
      <c r="S15">
        <v>470.5</v>
      </c>
      <c r="T15" s="2">
        <v>0.27929999999999999</v>
      </c>
      <c r="U15">
        <v>270</v>
      </c>
      <c r="V15">
        <v>200.5</v>
      </c>
      <c r="W15" s="2">
        <v>0.11899999999999999</v>
      </c>
    </row>
    <row r="16" spans="1:23" x14ac:dyDescent="0.35">
      <c r="A16" t="s">
        <v>53</v>
      </c>
      <c r="B16" t="s">
        <v>54</v>
      </c>
      <c r="C16" t="s">
        <v>29</v>
      </c>
      <c r="D16">
        <v>48576</v>
      </c>
      <c r="E16">
        <v>1598</v>
      </c>
      <c r="F16">
        <v>1354</v>
      </c>
      <c r="G16">
        <v>7.7</v>
      </c>
      <c r="H16">
        <v>27.1</v>
      </c>
      <c r="I16">
        <v>1319.4</v>
      </c>
      <c r="J16">
        <v>263.33</v>
      </c>
      <c r="K16">
        <v>1056.0999999999999</v>
      </c>
      <c r="L16">
        <v>21</v>
      </c>
      <c r="M16">
        <v>6.31</v>
      </c>
      <c r="N16">
        <v>283.69</v>
      </c>
      <c r="O16">
        <v>3.2</v>
      </c>
      <c r="P16">
        <v>741.9</v>
      </c>
      <c r="Q16">
        <v>1236.48</v>
      </c>
      <c r="R16">
        <v>32</v>
      </c>
      <c r="S16">
        <v>-494.6</v>
      </c>
      <c r="T16" s="2">
        <v>-0.37490000000000001</v>
      </c>
      <c r="U16">
        <v>270</v>
      </c>
      <c r="V16">
        <v>-764.6</v>
      </c>
      <c r="W16" s="2">
        <v>-0.57950000000000002</v>
      </c>
    </row>
    <row r="17" spans="1:23" x14ac:dyDescent="0.35">
      <c r="A17" t="s">
        <v>55</v>
      </c>
      <c r="B17" t="s">
        <v>56</v>
      </c>
      <c r="C17" t="s">
        <v>29</v>
      </c>
      <c r="D17">
        <v>46080</v>
      </c>
      <c r="E17">
        <v>1248</v>
      </c>
      <c r="F17">
        <v>1058</v>
      </c>
      <c r="G17">
        <v>7.7</v>
      </c>
      <c r="H17">
        <v>29.4</v>
      </c>
      <c r="I17">
        <v>1020.5</v>
      </c>
      <c r="J17">
        <v>196.5</v>
      </c>
      <c r="K17">
        <v>824</v>
      </c>
      <c r="L17">
        <v>13.5</v>
      </c>
      <c r="M17">
        <v>6.31</v>
      </c>
      <c r="N17">
        <v>207.95</v>
      </c>
      <c r="O17">
        <v>3.2</v>
      </c>
      <c r="P17">
        <v>593.1</v>
      </c>
      <c r="Q17">
        <v>753.17</v>
      </c>
      <c r="R17">
        <v>36</v>
      </c>
      <c r="S17">
        <v>-160.1</v>
      </c>
      <c r="T17" s="2">
        <v>-0.15690000000000001</v>
      </c>
      <c r="U17">
        <v>270</v>
      </c>
      <c r="V17">
        <v>-430.1</v>
      </c>
      <c r="W17" s="2">
        <v>-0.42149999999999999</v>
      </c>
    </row>
    <row r="18" spans="1:23" x14ac:dyDescent="0.35">
      <c r="A18" t="s">
        <v>57</v>
      </c>
      <c r="B18" t="s">
        <v>58</v>
      </c>
      <c r="C18" t="s">
        <v>57</v>
      </c>
      <c r="D18">
        <v>40259.1</v>
      </c>
      <c r="E18">
        <v>399</v>
      </c>
      <c r="F18">
        <v>338</v>
      </c>
      <c r="G18">
        <v>7.7</v>
      </c>
      <c r="H18">
        <v>5.5</v>
      </c>
      <c r="I18">
        <v>324.89999999999998</v>
      </c>
      <c r="J18">
        <v>54</v>
      </c>
      <c r="K18">
        <v>270.89999999999998</v>
      </c>
      <c r="L18">
        <v>8.5</v>
      </c>
      <c r="M18">
        <v>6.31</v>
      </c>
      <c r="N18">
        <v>44.96</v>
      </c>
      <c r="O18">
        <v>3.2</v>
      </c>
      <c r="P18">
        <v>208</v>
      </c>
      <c r="Q18">
        <v>360.7</v>
      </c>
      <c r="R18">
        <v>103</v>
      </c>
      <c r="S18">
        <v>-152.69999999999999</v>
      </c>
      <c r="T18" s="2">
        <v>-0.47</v>
      </c>
      <c r="U18">
        <v>270</v>
      </c>
      <c r="V18">
        <v>-422.7</v>
      </c>
      <c r="W18" s="2">
        <v>-1.3008999999999999</v>
      </c>
    </row>
    <row r="19" spans="1:23" x14ac:dyDescent="0.35">
      <c r="A19" t="s">
        <v>59</v>
      </c>
      <c r="B19" t="s">
        <v>60</v>
      </c>
      <c r="C19" t="s">
        <v>59</v>
      </c>
      <c r="D19">
        <v>39494.57</v>
      </c>
      <c r="E19">
        <v>799</v>
      </c>
      <c r="F19">
        <v>677</v>
      </c>
      <c r="G19">
        <v>7.7</v>
      </c>
      <c r="H19">
        <v>14.6</v>
      </c>
      <c r="I19">
        <v>654.79999999999995</v>
      </c>
      <c r="J19">
        <v>215.5</v>
      </c>
      <c r="K19">
        <v>439.3</v>
      </c>
      <c r="L19">
        <v>5</v>
      </c>
      <c r="M19">
        <v>6.31</v>
      </c>
      <c r="N19">
        <v>113.34</v>
      </c>
      <c r="O19">
        <v>3.2</v>
      </c>
      <c r="P19">
        <v>311.5</v>
      </c>
      <c r="Q19">
        <v>329.03</v>
      </c>
      <c r="R19">
        <v>50</v>
      </c>
      <c r="S19">
        <v>-17.600000000000001</v>
      </c>
      <c r="T19" s="2">
        <v>-2.6800000000000001E-2</v>
      </c>
      <c r="U19">
        <v>270</v>
      </c>
      <c r="V19">
        <v>-287.60000000000002</v>
      </c>
      <c r="W19" s="2">
        <v>-0.43909999999999999</v>
      </c>
    </row>
    <row r="20" spans="1:23" x14ac:dyDescent="0.35">
      <c r="A20" t="s">
        <v>61</v>
      </c>
      <c r="B20" t="s">
        <v>62</v>
      </c>
      <c r="C20" t="s">
        <v>61</v>
      </c>
      <c r="D20">
        <v>36503</v>
      </c>
      <c r="E20">
        <v>699</v>
      </c>
      <c r="F20">
        <v>592</v>
      </c>
      <c r="G20">
        <v>7.7</v>
      </c>
      <c r="H20">
        <v>8.1</v>
      </c>
      <c r="I20">
        <v>576.5</v>
      </c>
      <c r="J20">
        <v>105</v>
      </c>
      <c r="K20">
        <v>471.5</v>
      </c>
      <c r="L20">
        <v>8.5</v>
      </c>
      <c r="M20">
        <v>6.31</v>
      </c>
      <c r="N20">
        <v>0</v>
      </c>
      <c r="O20">
        <v>3.2</v>
      </c>
      <c r="P20">
        <v>453.5</v>
      </c>
      <c r="Q20">
        <v>176.85</v>
      </c>
      <c r="R20">
        <v>65</v>
      </c>
      <c r="S20">
        <v>276.7</v>
      </c>
      <c r="T20" s="2">
        <v>0.47989999999999999</v>
      </c>
      <c r="U20">
        <v>270</v>
      </c>
      <c r="V20">
        <v>6.7</v>
      </c>
      <c r="W20" s="2">
        <v>1.1599999999999999E-2</v>
      </c>
    </row>
    <row r="21" spans="1:23" x14ac:dyDescent="0.35">
      <c r="A21" t="s">
        <v>63</v>
      </c>
      <c r="B21" t="s">
        <v>64</v>
      </c>
      <c r="C21" t="s">
        <v>63</v>
      </c>
      <c r="D21">
        <v>34162</v>
      </c>
      <c r="E21">
        <v>899</v>
      </c>
      <c r="F21">
        <v>762</v>
      </c>
      <c r="G21">
        <v>7.7</v>
      </c>
      <c r="H21">
        <v>12.4</v>
      </c>
      <c r="I21">
        <v>741.8</v>
      </c>
      <c r="J21">
        <v>117.7</v>
      </c>
      <c r="K21">
        <v>624.1</v>
      </c>
      <c r="L21">
        <v>9.5</v>
      </c>
      <c r="M21">
        <v>6.31</v>
      </c>
      <c r="N21">
        <v>209.48</v>
      </c>
      <c r="O21">
        <v>3.2</v>
      </c>
      <c r="P21">
        <v>395.6</v>
      </c>
      <c r="Q21">
        <v>485.55</v>
      </c>
      <c r="R21">
        <v>38</v>
      </c>
      <c r="S21">
        <v>-90</v>
      </c>
      <c r="T21" s="2">
        <v>-0.12130000000000001</v>
      </c>
      <c r="U21">
        <v>270</v>
      </c>
      <c r="V21">
        <v>-360</v>
      </c>
      <c r="W21" s="2">
        <v>-0.48530000000000001</v>
      </c>
    </row>
    <row r="22" spans="1:23" x14ac:dyDescent="0.35">
      <c r="A22" t="s">
        <v>65</v>
      </c>
      <c r="B22" t="s">
        <v>66</v>
      </c>
      <c r="C22" t="s">
        <v>29</v>
      </c>
      <c r="D22">
        <v>34160</v>
      </c>
      <c r="E22">
        <v>1798</v>
      </c>
      <c r="F22">
        <v>1524</v>
      </c>
      <c r="G22">
        <v>7.7</v>
      </c>
      <c r="H22">
        <v>31.2</v>
      </c>
      <c r="I22">
        <v>1484.8</v>
      </c>
      <c r="J22">
        <v>256.82</v>
      </c>
      <c r="K22">
        <v>1228</v>
      </c>
      <c r="L22">
        <v>25</v>
      </c>
      <c r="M22">
        <v>6.31</v>
      </c>
      <c r="N22">
        <v>158.87</v>
      </c>
      <c r="O22">
        <v>3.2</v>
      </c>
      <c r="P22">
        <v>1034.5999999999999</v>
      </c>
      <c r="Q22">
        <v>799.68</v>
      </c>
      <c r="R22">
        <v>20</v>
      </c>
      <c r="S22">
        <v>234.9</v>
      </c>
      <c r="T22" s="2">
        <v>0.15820000000000001</v>
      </c>
      <c r="U22">
        <v>270</v>
      </c>
      <c r="V22">
        <v>-35.1</v>
      </c>
      <c r="W22" s="2">
        <v>-2.3599999999999999E-2</v>
      </c>
    </row>
    <row r="23" spans="1:23" x14ac:dyDescent="0.35">
      <c r="A23" t="s">
        <v>67</v>
      </c>
      <c r="B23" t="s">
        <v>68</v>
      </c>
      <c r="C23" t="s">
        <v>67</v>
      </c>
      <c r="D23">
        <v>30150.35</v>
      </c>
      <c r="E23">
        <v>449</v>
      </c>
      <c r="F23">
        <v>381</v>
      </c>
      <c r="G23">
        <v>7.7</v>
      </c>
      <c r="H23">
        <v>7.2</v>
      </c>
      <c r="I23">
        <v>365.6</v>
      </c>
      <c r="J23">
        <v>64.7</v>
      </c>
      <c r="K23">
        <v>300.89999999999998</v>
      </c>
      <c r="L23">
        <v>5.5</v>
      </c>
      <c r="M23">
        <v>6.31</v>
      </c>
      <c r="N23">
        <v>37.15</v>
      </c>
      <c r="O23">
        <v>3.2</v>
      </c>
      <c r="P23">
        <v>248.7</v>
      </c>
      <c r="Q23">
        <v>350.7</v>
      </c>
      <c r="R23">
        <v>69</v>
      </c>
      <c r="S23">
        <v>-102</v>
      </c>
      <c r="T23" s="2">
        <v>-0.27900000000000003</v>
      </c>
      <c r="U23">
        <v>270</v>
      </c>
      <c r="V23">
        <v>-372</v>
      </c>
      <c r="W23" s="2">
        <v>-1.0176000000000001</v>
      </c>
    </row>
    <row r="24" spans="1:23" x14ac:dyDescent="0.35">
      <c r="A24" t="s">
        <v>69</v>
      </c>
      <c r="B24" t="s">
        <v>70</v>
      </c>
      <c r="C24" t="s">
        <v>29</v>
      </c>
      <c r="D24">
        <v>28832</v>
      </c>
      <c r="E24">
        <v>1897</v>
      </c>
      <c r="F24">
        <v>1608</v>
      </c>
      <c r="G24">
        <v>7.7</v>
      </c>
      <c r="H24">
        <v>33.9</v>
      </c>
      <c r="I24">
        <v>1566</v>
      </c>
      <c r="J24">
        <v>259.45999999999998</v>
      </c>
      <c r="K24">
        <v>1306.5</v>
      </c>
      <c r="L24">
        <v>20</v>
      </c>
      <c r="M24">
        <v>6.31</v>
      </c>
      <c r="N24">
        <v>286.99</v>
      </c>
      <c r="O24">
        <v>3.2</v>
      </c>
      <c r="P24">
        <v>990</v>
      </c>
      <c r="Q24">
        <v>497.2</v>
      </c>
      <c r="R24">
        <v>16</v>
      </c>
      <c r="S24">
        <v>492.8</v>
      </c>
      <c r="T24" s="2">
        <v>0.31469999999999998</v>
      </c>
      <c r="U24">
        <v>270</v>
      </c>
      <c r="V24">
        <v>222.8</v>
      </c>
      <c r="W24" s="2">
        <v>0.14230000000000001</v>
      </c>
    </row>
    <row r="25" spans="1:23" x14ac:dyDescent="0.35">
      <c r="A25" t="s">
        <v>71</v>
      </c>
      <c r="B25" t="s">
        <v>72</v>
      </c>
      <c r="C25" t="s">
        <v>71</v>
      </c>
      <c r="D25">
        <v>26955</v>
      </c>
      <c r="E25">
        <v>599</v>
      </c>
      <c r="F25">
        <v>508</v>
      </c>
      <c r="G25">
        <v>7.7</v>
      </c>
      <c r="H25">
        <v>8.5</v>
      </c>
      <c r="I25">
        <v>491.5</v>
      </c>
      <c r="J25">
        <v>151.28</v>
      </c>
      <c r="K25">
        <v>340.2</v>
      </c>
      <c r="L25">
        <v>12.5</v>
      </c>
      <c r="M25">
        <v>6.31</v>
      </c>
      <c r="N25">
        <v>141.31</v>
      </c>
      <c r="O25">
        <v>3.2</v>
      </c>
      <c r="P25">
        <v>176.9</v>
      </c>
      <c r="Q25">
        <v>632.15</v>
      </c>
      <c r="R25">
        <v>45</v>
      </c>
      <c r="S25">
        <v>-455.3</v>
      </c>
      <c r="T25" s="2">
        <v>-0.9264</v>
      </c>
      <c r="U25">
        <v>270</v>
      </c>
      <c r="V25">
        <v>-725.3</v>
      </c>
      <c r="W25" s="2">
        <v>-1.4758</v>
      </c>
    </row>
    <row r="26" spans="1:23" x14ac:dyDescent="0.35">
      <c r="A26" t="s">
        <v>73</v>
      </c>
      <c r="B26" t="s">
        <v>74</v>
      </c>
      <c r="C26" t="s">
        <v>29</v>
      </c>
      <c r="D26">
        <v>26442</v>
      </c>
      <c r="E26">
        <v>1547</v>
      </c>
      <c r="F26">
        <v>1311</v>
      </c>
      <c r="G26">
        <v>7.7</v>
      </c>
      <c r="H26">
        <v>35.700000000000003</v>
      </c>
      <c r="I26">
        <v>1267.5999999999999</v>
      </c>
      <c r="J26">
        <v>210.73</v>
      </c>
      <c r="K26">
        <v>1056.9000000000001</v>
      </c>
      <c r="L26">
        <v>20</v>
      </c>
      <c r="M26">
        <v>6.31</v>
      </c>
      <c r="N26">
        <v>175.39</v>
      </c>
      <c r="O26">
        <v>3.2</v>
      </c>
      <c r="P26">
        <v>852</v>
      </c>
      <c r="Q26">
        <v>948.69</v>
      </c>
      <c r="R26">
        <v>18</v>
      </c>
      <c r="S26">
        <v>-96.7</v>
      </c>
      <c r="T26" s="2">
        <v>-7.6300000000000007E-2</v>
      </c>
      <c r="U26">
        <v>270</v>
      </c>
      <c r="V26">
        <v>-366.7</v>
      </c>
      <c r="W26" s="2">
        <v>-0.2893</v>
      </c>
    </row>
    <row r="27" spans="1:23" x14ac:dyDescent="0.35">
      <c r="A27" t="s">
        <v>75</v>
      </c>
      <c r="B27" t="s">
        <v>76</v>
      </c>
      <c r="C27" t="s">
        <v>75</v>
      </c>
      <c r="D27">
        <v>26042</v>
      </c>
      <c r="E27">
        <v>449</v>
      </c>
      <c r="F27">
        <v>381</v>
      </c>
      <c r="G27">
        <v>7.7</v>
      </c>
      <c r="H27">
        <v>5.7</v>
      </c>
      <c r="I27">
        <v>367.1</v>
      </c>
      <c r="J27">
        <v>60.89</v>
      </c>
      <c r="K27">
        <v>306.2</v>
      </c>
      <c r="L27">
        <v>5</v>
      </c>
      <c r="M27">
        <v>6.31</v>
      </c>
      <c r="N27">
        <v>107.76</v>
      </c>
      <c r="O27">
        <v>3.2</v>
      </c>
      <c r="P27">
        <v>183.9</v>
      </c>
      <c r="Q27">
        <v>618.29</v>
      </c>
      <c r="R27">
        <v>58</v>
      </c>
      <c r="S27">
        <v>-434.4</v>
      </c>
      <c r="T27" s="2">
        <v>-1.1832</v>
      </c>
      <c r="U27">
        <v>270</v>
      </c>
      <c r="V27">
        <v>-704.4</v>
      </c>
      <c r="W27" s="2">
        <v>-1.9187000000000001</v>
      </c>
    </row>
    <row r="28" spans="1:23" x14ac:dyDescent="0.35">
      <c r="A28" t="s">
        <v>77</v>
      </c>
      <c r="B28" t="s">
        <v>78</v>
      </c>
      <c r="C28" t="s">
        <v>77</v>
      </c>
      <c r="D28">
        <v>25863</v>
      </c>
      <c r="E28">
        <v>699</v>
      </c>
      <c r="F28">
        <v>592</v>
      </c>
      <c r="G28">
        <v>7.7</v>
      </c>
      <c r="H28">
        <v>10.4</v>
      </c>
      <c r="I28">
        <v>574.29999999999995</v>
      </c>
      <c r="J28">
        <v>84.27</v>
      </c>
      <c r="K28">
        <v>490</v>
      </c>
      <c r="L28">
        <v>12.5</v>
      </c>
      <c r="M28">
        <v>6.31</v>
      </c>
      <c r="N28">
        <v>121.71</v>
      </c>
      <c r="O28">
        <v>3.2</v>
      </c>
      <c r="P28">
        <v>346.3</v>
      </c>
      <c r="Q28">
        <v>1299.03</v>
      </c>
      <c r="R28">
        <v>37</v>
      </c>
      <c r="S28">
        <v>-952.7</v>
      </c>
      <c r="T28" s="2">
        <v>-1.659</v>
      </c>
      <c r="U28">
        <v>270</v>
      </c>
      <c r="V28">
        <v>-1222.7</v>
      </c>
      <c r="W28" s="2">
        <v>-2.1291000000000002</v>
      </c>
    </row>
    <row r="29" spans="1:23" x14ac:dyDescent="0.35">
      <c r="A29" t="s">
        <v>79</v>
      </c>
      <c r="B29" t="s">
        <v>80</v>
      </c>
      <c r="C29" t="s">
        <v>79</v>
      </c>
      <c r="D29">
        <v>24975</v>
      </c>
      <c r="E29">
        <v>999</v>
      </c>
      <c r="F29">
        <v>847</v>
      </c>
      <c r="G29">
        <v>7.7</v>
      </c>
      <c r="H29">
        <v>13.8</v>
      </c>
      <c r="I29">
        <v>825.1</v>
      </c>
      <c r="J29">
        <v>276.02</v>
      </c>
      <c r="K29">
        <v>549.1</v>
      </c>
      <c r="L29">
        <v>12.5</v>
      </c>
      <c r="M29">
        <v>6.31</v>
      </c>
      <c r="N29">
        <v>127.92</v>
      </c>
      <c r="O29">
        <v>3.2</v>
      </c>
      <c r="P29">
        <v>399.1</v>
      </c>
      <c r="Q29">
        <v>791.35</v>
      </c>
      <c r="R29">
        <v>25</v>
      </c>
      <c r="S29">
        <v>-392.2</v>
      </c>
      <c r="T29" s="2">
        <v>-0.47539999999999999</v>
      </c>
      <c r="U29">
        <v>270</v>
      </c>
      <c r="V29">
        <v>-662.2</v>
      </c>
      <c r="W29" s="2">
        <v>-0.80259999999999998</v>
      </c>
    </row>
    <row r="30" spans="1:23" x14ac:dyDescent="0.35">
      <c r="A30" t="s">
        <v>81</v>
      </c>
      <c r="B30" t="s">
        <v>82</v>
      </c>
      <c r="C30" t="s">
        <v>29</v>
      </c>
      <c r="D30">
        <v>22770</v>
      </c>
      <c r="E30">
        <v>1598</v>
      </c>
      <c r="F30">
        <v>1354</v>
      </c>
      <c r="G30">
        <v>7.7</v>
      </c>
      <c r="H30">
        <v>20.100000000000001</v>
      </c>
      <c r="I30">
        <v>1326.4</v>
      </c>
      <c r="J30">
        <v>208.76</v>
      </c>
      <c r="K30">
        <v>1117.5999999999999</v>
      </c>
      <c r="L30">
        <v>25</v>
      </c>
      <c r="M30">
        <v>6.31</v>
      </c>
      <c r="N30">
        <v>220.64</v>
      </c>
      <c r="O30">
        <v>3.2</v>
      </c>
      <c r="P30">
        <v>862.5</v>
      </c>
      <c r="Q30">
        <v>932.96</v>
      </c>
      <c r="R30">
        <v>15</v>
      </c>
      <c r="S30">
        <v>-70.5</v>
      </c>
      <c r="T30" s="2">
        <v>-5.3100000000000001E-2</v>
      </c>
      <c r="U30">
        <v>270</v>
      </c>
      <c r="V30">
        <v>-340.5</v>
      </c>
      <c r="W30" s="2">
        <v>-0.25669999999999998</v>
      </c>
    </row>
    <row r="31" spans="1:23" x14ac:dyDescent="0.35">
      <c r="A31" t="s">
        <v>83</v>
      </c>
      <c r="B31" t="s">
        <v>84</v>
      </c>
      <c r="C31" t="s">
        <v>29</v>
      </c>
      <c r="D31">
        <v>21800</v>
      </c>
      <c r="E31">
        <v>1148</v>
      </c>
      <c r="F31">
        <v>973</v>
      </c>
      <c r="G31">
        <v>7.7</v>
      </c>
      <c r="H31">
        <v>12.3</v>
      </c>
      <c r="I31">
        <v>952.9</v>
      </c>
      <c r="J31">
        <v>137.96</v>
      </c>
      <c r="K31">
        <v>814.9</v>
      </c>
      <c r="L31">
        <v>11.5</v>
      </c>
      <c r="M31">
        <v>6.31</v>
      </c>
      <c r="N31">
        <v>110.84</v>
      </c>
      <c r="O31">
        <v>3.2</v>
      </c>
      <c r="P31">
        <v>683.1</v>
      </c>
      <c r="Q31">
        <v>499.8</v>
      </c>
      <c r="R31">
        <v>20</v>
      </c>
      <c r="S31">
        <v>183.3</v>
      </c>
      <c r="T31" s="2">
        <v>0.1923</v>
      </c>
      <c r="U31">
        <v>270</v>
      </c>
      <c r="V31">
        <v>-86.7</v>
      </c>
      <c r="W31" s="2">
        <v>-9.0999999999999998E-2</v>
      </c>
    </row>
    <row r="32" spans="1:23" x14ac:dyDescent="0.35">
      <c r="A32" t="s">
        <v>85</v>
      </c>
      <c r="B32" t="s">
        <v>86</v>
      </c>
      <c r="C32" t="s">
        <v>85</v>
      </c>
      <c r="D32">
        <v>20901</v>
      </c>
      <c r="E32">
        <v>599</v>
      </c>
      <c r="F32">
        <v>508</v>
      </c>
      <c r="G32">
        <v>7.7</v>
      </c>
      <c r="H32">
        <v>7.1</v>
      </c>
      <c r="I32">
        <v>492.8</v>
      </c>
      <c r="J32">
        <v>56.8</v>
      </c>
      <c r="K32">
        <v>436</v>
      </c>
      <c r="L32">
        <v>8.5</v>
      </c>
      <c r="M32">
        <v>6.31</v>
      </c>
      <c r="N32">
        <v>109.84</v>
      </c>
      <c r="O32">
        <v>3.2</v>
      </c>
      <c r="P32">
        <v>308.10000000000002</v>
      </c>
      <c r="Q32">
        <v>896.01</v>
      </c>
      <c r="R32">
        <v>39</v>
      </c>
      <c r="S32">
        <v>-587.9</v>
      </c>
      <c r="T32" s="2">
        <v>-1.1930000000000001</v>
      </c>
      <c r="U32">
        <v>270</v>
      </c>
      <c r="V32">
        <v>-857.9</v>
      </c>
      <c r="W32" s="2">
        <v>-1.7408999999999999</v>
      </c>
    </row>
    <row r="33" spans="1:23" x14ac:dyDescent="0.35">
      <c r="A33" t="s">
        <v>87</v>
      </c>
      <c r="B33" t="s">
        <v>88</v>
      </c>
      <c r="C33" t="s">
        <v>29</v>
      </c>
      <c r="D33">
        <v>18495</v>
      </c>
      <c r="E33">
        <v>1298</v>
      </c>
      <c r="F33">
        <v>1100</v>
      </c>
      <c r="G33">
        <v>7.7</v>
      </c>
      <c r="H33">
        <v>36.9</v>
      </c>
      <c r="I33">
        <v>1055.4000000000001</v>
      </c>
      <c r="J33">
        <v>178.49</v>
      </c>
      <c r="K33">
        <v>876.9</v>
      </c>
      <c r="L33">
        <v>21</v>
      </c>
      <c r="M33">
        <v>6.31</v>
      </c>
      <c r="N33">
        <v>161.62</v>
      </c>
      <c r="O33">
        <v>3.2</v>
      </c>
      <c r="P33">
        <v>684.8</v>
      </c>
      <c r="Q33">
        <v>902.42</v>
      </c>
      <c r="R33">
        <v>15</v>
      </c>
      <c r="S33">
        <v>-217.7</v>
      </c>
      <c r="T33" s="2">
        <v>-0.20619999999999999</v>
      </c>
      <c r="U33">
        <v>270</v>
      </c>
      <c r="V33">
        <v>-487.7</v>
      </c>
      <c r="W33" s="2">
        <v>-0.46210000000000001</v>
      </c>
    </row>
    <row r="34" spans="1:23" x14ac:dyDescent="0.35">
      <c r="A34" t="s">
        <v>89</v>
      </c>
      <c r="B34" t="s">
        <v>90</v>
      </c>
      <c r="C34" t="s">
        <v>29</v>
      </c>
      <c r="D34">
        <v>17215</v>
      </c>
      <c r="E34">
        <v>1648</v>
      </c>
      <c r="F34">
        <v>1397</v>
      </c>
      <c r="G34">
        <v>7.7</v>
      </c>
      <c r="H34">
        <v>31.9</v>
      </c>
      <c r="I34">
        <v>1357</v>
      </c>
      <c r="J34">
        <v>255.49</v>
      </c>
      <c r="K34">
        <v>1101.5</v>
      </c>
      <c r="L34">
        <v>17.5</v>
      </c>
      <c r="M34">
        <v>6.31</v>
      </c>
      <c r="N34">
        <v>222</v>
      </c>
      <c r="O34">
        <v>3.2</v>
      </c>
      <c r="P34">
        <v>852.5</v>
      </c>
      <c r="Q34">
        <v>1241.93</v>
      </c>
      <c r="R34">
        <v>11</v>
      </c>
      <c r="S34">
        <v>-389.4</v>
      </c>
      <c r="T34" s="2">
        <v>-0.28699999999999998</v>
      </c>
      <c r="U34">
        <v>270</v>
      </c>
      <c r="V34">
        <v>-659.4</v>
      </c>
      <c r="W34" s="2">
        <v>-0.4859</v>
      </c>
    </row>
    <row r="35" spans="1:23" x14ac:dyDescent="0.35">
      <c r="A35" t="s">
        <v>91</v>
      </c>
      <c r="B35" t="s">
        <v>92</v>
      </c>
      <c r="C35" t="s">
        <v>29</v>
      </c>
      <c r="D35">
        <v>14640</v>
      </c>
      <c r="E35">
        <v>1148</v>
      </c>
      <c r="F35">
        <v>973</v>
      </c>
      <c r="G35">
        <v>7.7</v>
      </c>
      <c r="H35">
        <v>11.6</v>
      </c>
      <c r="I35">
        <v>953.6</v>
      </c>
      <c r="J35">
        <v>191.89</v>
      </c>
      <c r="K35">
        <v>761.7</v>
      </c>
      <c r="L35">
        <v>10</v>
      </c>
      <c r="M35">
        <v>6.31</v>
      </c>
      <c r="N35">
        <v>228.43</v>
      </c>
      <c r="O35">
        <v>3.2</v>
      </c>
      <c r="P35">
        <v>513.79999999999995</v>
      </c>
      <c r="Q35">
        <v>522.01</v>
      </c>
      <c r="R35">
        <v>15</v>
      </c>
      <c r="S35">
        <v>-8.1999999999999993</v>
      </c>
      <c r="T35" s="2">
        <v>-8.6E-3</v>
      </c>
      <c r="U35">
        <v>270</v>
      </c>
      <c r="V35">
        <v>-278.2</v>
      </c>
      <c r="W35" s="2">
        <v>-0.29170000000000001</v>
      </c>
    </row>
    <row r="36" spans="1:23" x14ac:dyDescent="0.35">
      <c r="A36" t="s">
        <v>93</v>
      </c>
      <c r="B36" t="s">
        <v>94</v>
      </c>
      <c r="C36" t="s">
        <v>93</v>
      </c>
      <c r="D36">
        <v>14568</v>
      </c>
      <c r="E36">
        <v>499</v>
      </c>
      <c r="F36">
        <v>423</v>
      </c>
      <c r="G36">
        <v>7.7</v>
      </c>
      <c r="H36">
        <v>6.4</v>
      </c>
      <c r="I36">
        <v>408.8</v>
      </c>
      <c r="J36">
        <v>75</v>
      </c>
      <c r="K36">
        <v>333.8</v>
      </c>
      <c r="L36">
        <v>5</v>
      </c>
      <c r="M36">
        <v>6.31</v>
      </c>
      <c r="N36">
        <v>152.44999999999999</v>
      </c>
      <c r="O36">
        <v>3.2</v>
      </c>
      <c r="P36">
        <v>166.8</v>
      </c>
      <c r="Q36">
        <v>745.79</v>
      </c>
      <c r="R36">
        <v>32</v>
      </c>
      <c r="S36">
        <v>-579</v>
      </c>
      <c r="T36" s="2">
        <v>-1.4161999999999999</v>
      </c>
      <c r="U36">
        <v>270</v>
      </c>
      <c r="V36">
        <v>-849</v>
      </c>
      <c r="W36" s="2">
        <v>-2.0766</v>
      </c>
    </row>
    <row r="37" spans="1:23" x14ac:dyDescent="0.35">
      <c r="A37" t="s">
        <v>95</v>
      </c>
      <c r="B37" t="s">
        <v>96</v>
      </c>
      <c r="C37" t="s">
        <v>95</v>
      </c>
      <c r="D37">
        <v>12846</v>
      </c>
      <c r="E37">
        <v>599</v>
      </c>
      <c r="F37">
        <v>508</v>
      </c>
      <c r="G37">
        <v>7.7</v>
      </c>
      <c r="H37">
        <v>5.2</v>
      </c>
      <c r="I37">
        <v>494.7</v>
      </c>
      <c r="J37">
        <v>76.7</v>
      </c>
      <c r="K37">
        <v>418</v>
      </c>
      <c r="L37">
        <v>8.5</v>
      </c>
      <c r="M37">
        <v>6.31</v>
      </c>
      <c r="N37">
        <v>171.21</v>
      </c>
      <c r="O37">
        <v>3.2</v>
      </c>
      <c r="P37">
        <v>228.8</v>
      </c>
      <c r="Q37">
        <v>1294.6199999999999</v>
      </c>
      <c r="R37">
        <v>24</v>
      </c>
      <c r="S37">
        <v>-1065.8</v>
      </c>
      <c r="T37" s="2">
        <v>-2.1543999999999999</v>
      </c>
      <c r="U37">
        <v>270</v>
      </c>
      <c r="V37">
        <v>-1335.8</v>
      </c>
      <c r="W37" s="2">
        <v>-2.7002000000000002</v>
      </c>
    </row>
    <row r="38" spans="1:23" x14ac:dyDescent="0.35">
      <c r="A38" t="s">
        <v>97</v>
      </c>
      <c r="B38" t="s">
        <v>98</v>
      </c>
      <c r="C38" t="s">
        <v>29</v>
      </c>
      <c r="D38">
        <v>12518</v>
      </c>
      <c r="E38">
        <v>1198</v>
      </c>
      <c r="F38">
        <v>1015</v>
      </c>
      <c r="G38">
        <v>7.7</v>
      </c>
      <c r="H38">
        <v>28.3</v>
      </c>
      <c r="I38">
        <v>979.3</v>
      </c>
      <c r="J38">
        <v>128.46</v>
      </c>
      <c r="K38">
        <v>850.8</v>
      </c>
      <c r="L38">
        <v>11.5</v>
      </c>
      <c r="M38">
        <v>6.31</v>
      </c>
      <c r="N38">
        <v>183.79</v>
      </c>
      <c r="O38">
        <v>3.2</v>
      </c>
      <c r="P38">
        <v>646</v>
      </c>
      <c r="Q38">
        <v>503.59</v>
      </c>
      <c r="R38">
        <v>11</v>
      </c>
      <c r="S38">
        <v>142.4</v>
      </c>
      <c r="T38" s="2">
        <v>0.1454</v>
      </c>
      <c r="U38">
        <v>270</v>
      </c>
      <c r="V38">
        <v>-127.6</v>
      </c>
      <c r="W38" s="2">
        <v>-0.1303</v>
      </c>
    </row>
    <row r="39" spans="1:23" x14ac:dyDescent="0.35">
      <c r="A39" t="s">
        <v>99</v>
      </c>
      <c r="B39" t="s">
        <v>100</v>
      </c>
      <c r="C39" t="s">
        <v>29</v>
      </c>
      <c r="D39">
        <v>12375</v>
      </c>
      <c r="E39">
        <v>1448</v>
      </c>
      <c r="F39">
        <v>1227</v>
      </c>
      <c r="G39">
        <v>7.7</v>
      </c>
      <c r="H39">
        <v>22.1</v>
      </c>
      <c r="I39">
        <v>1197.4000000000001</v>
      </c>
      <c r="J39">
        <v>189.99</v>
      </c>
      <c r="K39">
        <v>1007.4</v>
      </c>
      <c r="L39">
        <v>17.5</v>
      </c>
      <c r="M39">
        <v>6.31</v>
      </c>
      <c r="N39">
        <v>261.60000000000002</v>
      </c>
      <c r="O39">
        <v>3.2</v>
      </c>
      <c r="P39">
        <v>718.7</v>
      </c>
      <c r="Q39">
        <v>1374.45</v>
      </c>
      <c r="R39">
        <v>9</v>
      </c>
      <c r="S39">
        <v>-655.7</v>
      </c>
      <c r="T39" s="2">
        <v>-0.54759999999999998</v>
      </c>
      <c r="U39">
        <v>270</v>
      </c>
      <c r="V39">
        <v>-925.7</v>
      </c>
      <c r="W39" s="2">
        <v>-0.77310000000000001</v>
      </c>
    </row>
    <row r="40" spans="1:23" x14ac:dyDescent="0.35">
      <c r="A40" t="s">
        <v>101</v>
      </c>
      <c r="B40" t="s">
        <v>102</v>
      </c>
      <c r="C40" t="s">
        <v>101</v>
      </c>
      <c r="D40">
        <v>12260.7</v>
      </c>
      <c r="E40">
        <v>190</v>
      </c>
      <c r="F40">
        <v>161</v>
      </c>
      <c r="G40">
        <v>7.7</v>
      </c>
      <c r="H40">
        <v>2.5</v>
      </c>
      <c r="I40">
        <v>150.80000000000001</v>
      </c>
      <c r="J40">
        <v>38.6</v>
      </c>
      <c r="K40">
        <v>112.2</v>
      </c>
      <c r="L40">
        <v>8.5</v>
      </c>
      <c r="M40">
        <v>6.31</v>
      </c>
      <c r="N40">
        <v>65.06</v>
      </c>
      <c r="O40">
        <v>3.2</v>
      </c>
      <c r="P40">
        <v>29.1</v>
      </c>
      <c r="Q40">
        <v>170.39</v>
      </c>
      <c r="R40">
        <v>66</v>
      </c>
      <c r="S40">
        <v>-141.30000000000001</v>
      </c>
      <c r="T40" s="2">
        <v>-0.93669999999999998</v>
      </c>
      <c r="U40">
        <v>270</v>
      </c>
      <c r="V40">
        <v>-411.3</v>
      </c>
      <c r="W40" s="2">
        <v>-2.7271000000000001</v>
      </c>
    </row>
    <row r="41" spans="1:23" x14ac:dyDescent="0.35">
      <c r="A41" t="s">
        <v>103</v>
      </c>
      <c r="B41" t="s">
        <v>104</v>
      </c>
      <c r="C41" t="s">
        <v>29</v>
      </c>
      <c r="D41">
        <v>11952</v>
      </c>
      <c r="E41">
        <v>2097</v>
      </c>
      <c r="F41">
        <v>1777</v>
      </c>
      <c r="G41">
        <v>7.7</v>
      </c>
      <c r="H41">
        <v>40.6</v>
      </c>
      <c r="I41">
        <v>1728.8</v>
      </c>
      <c r="J41">
        <v>338.44</v>
      </c>
      <c r="K41">
        <v>1390.4</v>
      </c>
      <c r="L41">
        <v>26</v>
      </c>
      <c r="M41">
        <v>6.31</v>
      </c>
      <c r="N41">
        <v>301.33</v>
      </c>
      <c r="O41">
        <v>3.2</v>
      </c>
      <c r="P41">
        <v>1053.5</v>
      </c>
      <c r="Q41">
        <v>2131.09</v>
      </c>
      <c r="R41">
        <v>6</v>
      </c>
      <c r="S41">
        <v>-1077.5999999999999</v>
      </c>
      <c r="T41" s="2">
        <v>-0.62329999999999997</v>
      </c>
      <c r="U41">
        <v>270</v>
      </c>
      <c r="V41">
        <v>-1347.6</v>
      </c>
      <c r="W41" s="2">
        <v>-0.77949999999999997</v>
      </c>
    </row>
    <row r="42" spans="1:23" x14ac:dyDescent="0.35">
      <c r="A42" t="s">
        <v>57</v>
      </c>
      <c r="B42" t="s">
        <v>105</v>
      </c>
      <c r="C42" t="s">
        <v>57</v>
      </c>
      <c r="D42">
        <v>11687</v>
      </c>
      <c r="E42">
        <v>399</v>
      </c>
      <c r="F42">
        <v>338</v>
      </c>
      <c r="G42">
        <v>7.7</v>
      </c>
      <c r="H42">
        <v>13.8</v>
      </c>
      <c r="I42">
        <v>316.60000000000002</v>
      </c>
      <c r="J42">
        <v>54</v>
      </c>
      <c r="K42">
        <v>262.60000000000002</v>
      </c>
      <c r="L42">
        <v>8.5</v>
      </c>
      <c r="M42">
        <v>6.31</v>
      </c>
      <c r="N42">
        <v>198.54</v>
      </c>
      <c r="O42">
        <v>3.2</v>
      </c>
      <c r="P42">
        <v>46</v>
      </c>
      <c r="Q42">
        <v>1467.36</v>
      </c>
      <c r="R42">
        <v>13</v>
      </c>
      <c r="S42">
        <v>-1421.3</v>
      </c>
      <c r="T42" s="2">
        <v>-4.4893999999999998</v>
      </c>
      <c r="U42">
        <v>270</v>
      </c>
      <c r="V42">
        <v>-1691.3</v>
      </c>
      <c r="W42" s="2">
        <v>-5.3422999999999998</v>
      </c>
    </row>
    <row r="43" spans="1:23" x14ac:dyDescent="0.35">
      <c r="A43" t="s">
        <v>106</v>
      </c>
      <c r="B43" t="s">
        <v>107</v>
      </c>
      <c r="C43" t="s">
        <v>106</v>
      </c>
      <c r="D43">
        <v>10479</v>
      </c>
      <c r="E43">
        <v>499</v>
      </c>
      <c r="F43">
        <v>423</v>
      </c>
      <c r="G43">
        <v>7.7</v>
      </c>
      <c r="H43">
        <v>8.3000000000000007</v>
      </c>
      <c r="I43">
        <v>406.8</v>
      </c>
      <c r="J43">
        <v>45</v>
      </c>
      <c r="K43">
        <v>361.8</v>
      </c>
      <c r="L43">
        <v>8.5</v>
      </c>
      <c r="M43">
        <v>6.31</v>
      </c>
      <c r="N43">
        <v>0</v>
      </c>
      <c r="O43">
        <v>3.2</v>
      </c>
      <c r="P43">
        <v>343.8</v>
      </c>
      <c r="Q43">
        <v>1096.78</v>
      </c>
      <c r="R43">
        <v>21</v>
      </c>
      <c r="S43">
        <v>-753</v>
      </c>
      <c r="T43" s="2">
        <v>-1.8507</v>
      </c>
      <c r="U43">
        <v>270</v>
      </c>
      <c r="V43">
        <v>-1023</v>
      </c>
      <c r="W43" s="2">
        <v>-2.5144000000000002</v>
      </c>
    </row>
    <row r="44" spans="1:23" x14ac:dyDescent="0.35">
      <c r="A44" t="s">
        <v>108</v>
      </c>
      <c r="B44" t="s">
        <v>109</v>
      </c>
      <c r="C44" t="s">
        <v>29</v>
      </c>
      <c r="D44">
        <v>10465</v>
      </c>
      <c r="E44">
        <v>848</v>
      </c>
      <c r="F44">
        <v>719</v>
      </c>
      <c r="G44">
        <v>7.7</v>
      </c>
      <c r="H44">
        <v>13.9</v>
      </c>
      <c r="I44">
        <v>697.1</v>
      </c>
      <c r="J44">
        <v>114.89</v>
      </c>
      <c r="K44">
        <v>582.20000000000005</v>
      </c>
      <c r="L44">
        <v>13.5</v>
      </c>
      <c r="M44">
        <v>6.31</v>
      </c>
      <c r="N44">
        <v>145.53</v>
      </c>
      <c r="O44">
        <v>3.2</v>
      </c>
      <c r="P44">
        <v>413.7</v>
      </c>
      <c r="Q44">
        <v>871.44</v>
      </c>
      <c r="R44">
        <v>13</v>
      </c>
      <c r="S44">
        <v>-457.8</v>
      </c>
      <c r="T44" s="2">
        <v>-0.65669999999999995</v>
      </c>
      <c r="U44">
        <v>270</v>
      </c>
      <c r="V44">
        <v>-727.8</v>
      </c>
      <c r="W44" s="2">
        <v>-1.044</v>
      </c>
    </row>
    <row r="45" spans="1:23" x14ac:dyDescent="0.35">
      <c r="A45" t="s">
        <v>110</v>
      </c>
      <c r="B45" t="s">
        <v>111</v>
      </c>
      <c r="C45" t="s">
        <v>29</v>
      </c>
      <c r="D45">
        <v>10240</v>
      </c>
      <c r="E45">
        <v>1348</v>
      </c>
      <c r="F45">
        <v>1142</v>
      </c>
      <c r="G45">
        <v>7.7</v>
      </c>
      <c r="H45">
        <v>25.4</v>
      </c>
      <c r="I45">
        <v>1109.3</v>
      </c>
      <c r="J45">
        <v>193.96</v>
      </c>
      <c r="K45">
        <v>915.4</v>
      </c>
      <c r="L45">
        <v>15</v>
      </c>
      <c r="M45">
        <v>6.31</v>
      </c>
      <c r="N45">
        <v>314.70999999999998</v>
      </c>
      <c r="O45">
        <v>3.2</v>
      </c>
      <c r="P45">
        <v>576.1</v>
      </c>
      <c r="Q45">
        <v>536.24</v>
      </c>
      <c r="R45">
        <v>8</v>
      </c>
      <c r="S45">
        <v>39.9</v>
      </c>
      <c r="T45" s="2">
        <v>3.5900000000000001E-2</v>
      </c>
      <c r="U45">
        <v>270</v>
      </c>
      <c r="V45">
        <v>-230.1</v>
      </c>
      <c r="W45" s="2">
        <v>-0.2074</v>
      </c>
    </row>
    <row r="46" spans="1:23" x14ac:dyDescent="0.35">
      <c r="A46" t="s">
        <v>112</v>
      </c>
      <c r="B46" t="s">
        <v>113</v>
      </c>
      <c r="C46" t="s">
        <v>112</v>
      </c>
      <c r="D46">
        <v>9980</v>
      </c>
      <c r="E46">
        <v>449</v>
      </c>
      <c r="F46">
        <v>381</v>
      </c>
      <c r="G46">
        <v>7.7</v>
      </c>
      <c r="H46">
        <v>5.6</v>
      </c>
      <c r="I46">
        <v>367.2</v>
      </c>
      <c r="J46">
        <v>76.400000000000006</v>
      </c>
      <c r="K46">
        <v>290.8</v>
      </c>
      <c r="L46">
        <v>5</v>
      </c>
      <c r="M46">
        <v>6.31</v>
      </c>
      <c r="N46">
        <v>182.55</v>
      </c>
      <c r="O46">
        <v>3.2</v>
      </c>
      <c r="P46">
        <v>93.7</v>
      </c>
      <c r="Q46">
        <v>830.92</v>
      </c>
      <c r="R46">
        <v>20</v>
      </c>
      <c r="S46">
        <v>-737.2</v>
      </c>
      <c r="T46" s="2">
        <v>-2.0076999999999998</v>
      </c>
      <c r="U46">
        <v>270</v>
      </c>
      <c r="V46">
        <v>-1007.2</v>
      </c>
      <c r="W46" s="2">
        <v>-2.7431000000000001</v>
      </c>
    </row>
    <row r="47" spans="1:23" x14ac:dyDescent="0.35">
      <c r="A47" t="s">
        <v>114</v>
      </c>
      <c r="B47" t="s">
        <v>115</v>
      </c>
      <c r="C47" t="s">
        <v>29</v>
      </c>
      <c r="D47">
        <v>8532</v>
      </c>
      <c r="E47">
        <v>998</v>
      </c>
      <c r="F47">
        <v>846</v>
      </c>
      <c r="G47">
        <v>7.7</v>
      </c>
      <c r="H47">
        <v>14</v>
      </c>
      <c r="I47">
        <v>824</v>
      </c>
      <c r="J47">
        <v>143.33000000000001</v>
      </c>
      <c r="K47">
        <v>680.7</v>
      </c>
      <c r="L47">
        <v>15</v>
      </c>
      <c r="M47">
        <v>6.31</v>
      </c>
      <c r="N47">
        <v>248.86</v>
      </c>
      <c r="O47">
        <v>3.2</v>
      </c>
      <c r="P47">
        <v>407.3</v>
      </c>
      <c r="Q47">
        <v>370.22</v>
      </c>
      <c r="R47">
        <v>9</v>
      </c>
      <c r="S47">
        <v>37.1</v>
      </c>
      <c r="T47" s="2">
        <v>4.4999999999999998E-2</v>
      </c>
      <c r="U47">
        <v>270</v>
      </c>
      <c r="V47">
        <v>-232.9</v>
      </c>
      <c r="W47" s="2">
        <v>-0.28260000000000002</v>
      </c>
    </row>
    <row r="48" spans="1:23" x14ac:dyDescent="0.35">
      <c r="A48" t="s">
        <v>116</v>
      </c>
      <c r="B48" t="s">
        <v>117</v>
      </c>
      <c r="C48" t="s">
        <v>116</v>
      </c>
      <c r="D48">
        <v>8504</v>
      </c>
      <c r="E48">
        <v>599</v>
      </c>
      <c r="F48">
        <v>508</v>
      </c>
      <c r="G48">
        <v>7.7</v>
      </c>
      <c r="H48">
        <v>4.9000000000000004</v>
      </c>
      <c r="I48">
        <v>495</v>
      </c>
      <c r="J48">
        <v>38.5</v>
      </c>
      <c r="K48">
        <v>456.5</v>
      </c>
      <c r="L48">
        <v>8.5</v>
      </c>
      <c r="M48">
        <v>6.31</v>
      </c>
      <c r="N48">
        <v>90.38</v>
      </c>
      <c r="O48">
        <v>3.2</v>
      </c>
      <c r="P48">
        <v>348.1</v>
      </c>
      <c r="Q48">
        <v>877.25</v>
      </c>
      <c r="R48">
        <v>16</v>
      </c>
      <c r="S48">
        <v>-529.1</v>
      </c>
      <c r="T48" s="2">
        <v>-1.069</v>
      </c>
      <c r="U48">
        <v>270</v>
      </c>
      <c r="V48">
        <v>-799.1</v>
      </c>
      <c r="W48" s="2">
        <v>-1.6145</v>
      </c>
    </row>
    <row r="49" spans="1:23" x14ac:dyDescent="0.35">
      <c r="A49" t="s">
        <v>118</v>
      </c>
      <c r="B49" t="s">
        <v>119</v>
      </c>
      <c r="C49" t="s">
        <v>118</v>
      </c>
      <c r="D49">
        <v>8459</v>
      </c>
      <c r="E49">
        <v>999</v>
      </c>
      <c r="F49">
        <v>847</v>
      </c>
      <c r="G49">
        <v>7.7</v>
      </c>
      <c r="H49">
        <v>11.9</v>
      </c>
      <c r="I49">
        <v>827</v>
      </c>
      <c r="J49">
        <v>217.35</v>
      </c>
      <c r="K49">
        <v>609.6</v>
      </c>
      <c r="L49">
        <v>12.5</v>
      </c>
      <c r="M49">
        <v>6.31</v>
      </c>
      <c r="N49">
        <v>141.63</v>
      </c>
      <c r="O49">
        <v>3.2</v>
      </c>
      <c r="P49">
        <v>446</v>
      </c>
      <c r="Q49">
        <v>2548.2199999999998</v>
      </c>
      <c r="R49">
        <v>11</v>
      </c>
      <c r="S49">
        <v>-2102.1999999999998</v>
      </c>
      <c r="T49" s="2">
        <v>-2.5419999999999998</v>
      </c>
      <c r="U49">
        <v>270</v>
      </c>
      <c r="V49">
        <v>-2372.1999999999998</v>
      </c>
      <c r="W49" s="2">
        <v>-2.8685</v>
      </c>
    </row>
    <row r="50" spans="1:23" x14ac:dyDescent="0.35">
      <c r="A50" t="s">
        <v>120</v>
      </c>
      <c r="B50" t="s">
        <v>121</v>
      </c>
      <c r="C50" t="s">
        <v>120</v>
      </c>
      <c r="D50">
        <v>7360</v>
      </c>
      <c r="E50">
        <v>399</v>
      </c>
      <c r="F50">
        <v>338</v>
      </c>
      <c r="G50">
        <v>7.7</v>
      </c>
      <c r="H50">
        <v>33.6</v>
      </c>
      <c r="I50">
        <v>296.89999999999998</v>
      </c>
      <c r="J50">
        <v>80.849999999999994</v>
      </c>
      <c r="K50">
        <v>216</v>
      </c>
      <c r="L50">
        <v>8.5</v>
      </c>
      <c r="M50">
        <v>6.31</v>
      </c>
      <c r="N50">
        <v>0</v>
      </c>
      <c r="O50">
        <v>3.2</v>
      </c>
      <c r="P50">
        <v>198</v>
      </c>
      <c r="Q50">
        <v>270.72000000000003</v>
      </c>
      <c r="R50">
        <v>8</v>
      </c>
      <c r="S50">
        <v>-72.7</v>
      </c>
      <c r="T50" s="2">
        <v>-0.245</v>
      </c>
      <c r="U50">
        <v>270</v>
      </c>
      <c r="V50">
        <v>-342.7</v>
      </c>
      <c r="W50" s="2">
        <v>-1.1545000000000001</v>
      </c>
    </row>
    <row r="51" spans="1:23" x14ac:dyDescent="0.35">
      <c r="A51" t="s">
        <v>122</v>
      </c>
      <c r="B51" t="s">
        <v>123</v>
      </c>
      <c r="C51" t="s">
        <v>122</v>
      </c>
      <c r="D51">
        <v>7035</v>
      </c>
      <c r="E51">
        <v>499</v>
      </c>
      <c r="F51">
        <v>423</v>
      </c>
      <c r="G51">
        <v>7.7</v>
      </c>
      <c r="H51">
        <v>4.9000000000000004</v>
      </c>
      <c r="I51">
        <v>410.3</v>
      </c>
      <c r="J51">
        <v>96.95</v>
      </c>
      <c r="K51">
        <v>313.39999999999998</v>
      </c>
      <c r="L51">
        <v>12.5</v>
      </c>
      <c r="M51">
        <v>6.31</v>
      </c>
      <c r="N51">
        <v>108.56</v>
      </c>
      <c r="O51">
        <v>3.2</v>
      </c>
      <c r="P51">
        <v>182.8</v>
      </c>
      <c r="Q51">
        <v>891.31</v>
      </c>
      <c r="R51">
        <v>15</v>
      </c>
      <c r="S51">
        <v>-708.5</v>
      </c>
      <c r="T51" s="2">
        <v>-1.7269000000000001</v>
      </c>
      <c r="U51">
        <v>270</v>
      </c>
      <c r="V51">
        <v>-978.5</v>
      </c>
      <c r="W51" s="2">
        <v>-2.3849</v>
      </c>
    </row>
    <row r="52" spans="1:23" x14ac:dyDescent="0.35">
      <c r="A52" t="s">
        <v>124</v>
      </c>
      <c r="B52" t="s">
        <v>125</v>
      </c>
      <c r="C52" t="s">
        <v>29</v>
      </c>
      <c r="D52">
        <v>6117</v>
      </c>
      <c r="E52">
        <v>2147</v>
      </c>
      <c r="F52">
        <v>1819</v>
      </c>
      <c r="G52">
        <v>7.7</v>
      </c>
      <c r="H52">
        <v>28.3</v>
      </c>
      <c r="I52">
        <v>1783.5</v>
      </c>
      <c r="J52">
        <v>409.6</v>
      </c>
      <c r="K52">
        <v>1373.9</v>
      </c>
      <c r="L52">
        <v>19.5</v>
      </c>
      <c r="M52">
        <v>6.31</v>
      </c>
      <c r="N52">
        <v>130.04</v>
      </c>
      <c r="O52">
        <v>3.2</v>
      </c>
      <c r="P52">
        <v>1214.8</v>
      </c>
      <c r="Q52">
        <v>1055.1300000000001</v>
      </c>
      <c r="R52">
        <v>3</v>
      </c>
      <c r="S52">
        <v>159.69999999999999</v>
      </c>
      <c r="T52" s="2">
        <v>8.9499999999999996E-2</v>
      </c>
      <c r="U52">
        <v>270</v>
      </c>
      <c r="V52">
        <v>-110.3</v>
      </c>
      <c r="W52" s="2">
        <v>-6.1899999999999997E-2</v>
      </c>
    </row>
    <row r="53" spans="1:23" x14ac:dyDescent="0.35">
      <c r="A53" t="s">
        <v>126</v>
      </c>
      <c r="B53" t="s">
        <v>127</v>
      </c>
      <c r="C53" t="s">
        <v>126</v>
      </c>
      <c r="D53">
        <v>6085</v>
      </c>
      <c r="E53">
        <v>399</v>
      </c>
      <c r="F53">
        <v>338</v>
      </c>
      <c r="G53">
        <v>7.7</v>
      </c>
      <c r="H53">
        <v>8.9</v>
      </c>
      <c r="I53">
        <v>321.5</v>
      </c>
      <c r="J53">
        <v>80.849999999999994</v>
      </c>
      <c r="K53">
        <v>240.7</v>
      </c>
      <c r="L53">
        <v>8.5</v>
      </c>
      <c r="M53">
        <v>6.31</v>
      </c>
      <c r="N53">
        <v>0</v>
      </c>
      <c r="O53">
        <v>3.2</v>
      </c>
      <c r="P53">
        <v>222.7</v>
      </c>
      <c r="Q53">
        <v>131.88999999999999</v>
      </c>
      <c r="R53">
        <v>12</v>
      </c>
      <c r="S53">
        <v>90.8</v>
      </c>
      <c r="T53" s="2">
        <v>0.28239999999999998</v>
      </c>
      <c r="U53">
        <v>270</v>
      </c>
      <c r="V53">
        <v>-179.2</v>
      </c>
      <c r="W53" s="2">
        <v>-0.55730000000000002</v>
      </c>
    </row>
    <row r="54" spans="1:23" x14ac:dyDescent="0.35">
      <c r="A54" t="s">
        <v>128</v>
      </c>
      <c r="B54" t="s">
        <v>129</v>
      </c>
      <c r="C54" t="s">
        <v>29</v>
      </c>
      <c r="D54">
        <v>5970</v>
      </c>
      <c r="E54">
        <v>948</v>
      </c>
      <c r="F54">
        <v>803</v>
      </c>
      <c r="G54">
        <v>7.7</v>
      </c>
      <c r="H54">
        <v>21.5</v>
      </c>
      <c r="I54">
        <v>774.2</v>
      </c>
      <c r="J54">
        <v>157.84</v>
      </c>
      <c r="K54">
        <v>616.29999999999995</v>
      </c>
      <c r="L54">
        <v>17.5</v>
      </c>
      <c r="M54">
        <v>6.31</v>
      </c>
      <c r="N54">
        <v>239.71</v>
      </c>
      <c r="O54">
        <v>3.2</v>
      </c>
      <c r="P54">
        <v>349.6</v>
      </c>
      <c r="Q54">
        <v>728.87</v>
      </c>
      <c r="R54">
        <v>6</v>
      </c>
      <c r="S54">
        <v>-379.3</v>
      </c>
      <c r="T54" s="2">
        <v>-0.4899</v>
      </c>
      <c r="U54">
        <v>270</v>
      </c>
      <c r="V54">
        <v>-649.29999999999995</v>
      </c>
      <c r="W54" s="2">
        <v>-0.8387</v>
      </c>
    </row>
    <row r="55" spans="1:23" x14ac:dyDescent="0.35">
      <c r="A55" t="s">
        <v>130</v>
      </c>
      <c r="B55" t="s">
        <v>131</v>
      </c>
      <c r="C55" t="s">
        <v>130</v>
      </c>
      <c r="D55">
        <v>5495</v>
      </c>
      <c r="E55">
        <v>1099</v>
      </c>
      <c r="F55">
        <v>931</v>
      </c>
      <c r="G55">
        <v>7.7</v>
      </c>
      <c r="H55">
        <v>13.7</v>
      </c>
      <c r="I55">
        <v>910</v>
      </c>
      <c r="J55">
        <v>173.95</v>
      </c>
      <c r="K55">
        <v>736.1</v>
      </c>
      <c r="L55">
        <v>12.5</v>
      </c>
      <c r="M55">
        <v>6.31</v>
      </c>
      <c r="N55">
        <v>64.489999999999995</v>
      </c>
      <c r="O55">
        <v>3.2</v>
      </c>
      <c r="P55">
        <v>649.5</v>
      </c>
      <c r="Q55">
        <v>1482.74</v>
      </c>
      <c r="R55">
        <v>5</v>
      </c>
      <c r="S55">
        <v>-833.2</v>
      </c>
      <c r="T55" s="2">
        <v>-0.91559999999999997</v>
      </c>
      <c r="U55">
        <v>270</v>
      </c>
      <c r="V55">
        <v>-1103.2</v>
      </c>
      <c r="W55" s="2">
        <v>-1.2122999999999999</v>
      </c>
    </row>
    <row r="56" spans="1:23" x14ac:dyDescent="0.35">
      <c r="A56" t="s">
        <v>132</v>
      </c>
      <c r="B56" t="s">
        <v>133</v>
      </c>
      <c r="C56" t="s">
        <v>29</v>
      </c>
      <c r="D56">
        <v>5312</v>
      </c>
      <c r="E56">
        <v>1398</v>
      </c>
      <c r="F56">
        <v>1185</v>
      </c>
      <c r="G56">
        <v>7.7</v>
      </c>
      <c r="H56">
        <v>24.9</v>
      </c>
      <c r="I56">
        <v>1152.2</v>
      </c>
      <c r="J56">
        <v>304.83</v>
      </c>
      <c r="K56">
        <v>847.3</v>
      </c>
      <c r="L56">
        <v>11.5</v>
      </c>
      <c r="M56">
        <v>6.31</v>
      </c>
      <c r="N56">
        <v>217.94</v>
      </c>
      <c r="O56">
        <v>3.2</v>
      </c>
      <c r="P56">
        <v>608.4</v>
      </c>
      <c r="Q56">
        <v>1561.87</v>
      </c>
      <c r="R56">
        <v>4</v>
      </c>
      <c r="S56">
        <v>-953.5</v>
      </c>
      <c r="T56" s="2">
        <v>-0.8276</v>
      </c>
      <c r="U56">
        <v>270</v>
      </c>
      <c r="V56">
        <v>-1223.5</v>
      </c>
      <c r="W56" s="2">
        <v>-1.0619000000000001</v>
      </c>
    </row>
    <row r="57" spans="1:23" x14ac:dyDescent="0.35">
      <c r="A57" t="s">
        <v>134</v>
      </c>
      <c r="B57" t="s">
        <v>135</v>
      </c>
      <c r="C57" t="s">
        <v>29</v>
      </c>
      <c r="D57">
        <v>5170</v>
      </c>
      <c r="E57">
        <v>1089</v>
      </c>
      <c r="F57">
        <v>923</v>
      </c>
      <c r="G57">
        <v>7.7</v>
      </c>
      <c r="H57">
        <v>9.9</v>
      </c>
      <c r="I57">
        <v>905.2</v>
      </c>
      <c r="J57">
        <v>219.36</v>
      </c>
      <c r="K57">
        <v>685.9</v>
      </c>
      <c r="L57">
        <v>18</v>
      </c>
      <c r="M57">
        <v>6.31</v>
      </c>
      <c r="N57">
        <v>301.70999999999998</v>
      </c>
      <c r="O57">
        <v>3.2</v>
      </c>
      <c r="P57">
        <v>356.7</v>
      </c>
      <c r="Q57">
        <v>574.77</v>
      </c>
      <c r="R57">
        <v>5</v>
      </c>
      <c r="S57">
        <v>-218.1</v>
      </c>
      <c r="T57" s="2">
        <v>-0.2409</v>
      </c>
      <c r="U57">
        <v>270</v>
      </c>
      <c r="V57">
        <v>-488.1</v>
      </c>
      <c r="W57" s="2">
        <v>-0.53920000000000001</v>
      </c>
    </row>
    <row r="58" spans="1:23" x14ac:dyDescent="0.35">
      <c r="A58" t="s">
        <v>136</v>
      </c>
      <c r="B58" t="s">
        <v>137</v>
      </c>
      <c r="C58" t="s">
        <v>29</v>
      </c>
      <c r="D58">
        <v>4704</v>
      </c>
      <c r="E58">
        <v>1238</v>
      </c>
      <c r="F58">
        <v>1049</v>
      </c>
      <c r="G58">
        <v>7.7</v>
      </c>
      <c r="H58">
        <v>17.5</v>
      </c>
      <c r="I58">
        <v>1023.9</v>
      </c>
      <c r="J58">
        <v>204.33</v>
      </c>
      <c r="K58">
        <v>819.6</v>
      </c>
      <c r="L58">
        <v>20</v>
      </c>
      <c r="M58">
        <v>6.31</v>
      </c>
      <c r="N58">
        <v>39.229999999999997</v>
      </c>
      <c r="O58">
        <v>3.2</v>
      </c>
      <c r="P58">
        <v>750.8</v>
      </c>
      <c r="Q58">
        <v>843.41</v>
      </c>
      <c r="R58">
        <v>4</v>
      </c>
      <c r="S58">
        <v>-92.6</v>
      </c>
      <c r="T58" s="2">
        <v>-9.0399999999999994E-2</v>
      </c>
      <c r="U58">
        <v>270</v>
      </c>
      <c r="V58">
        <v>-362.6</v>
      </c>
      <c r="W58" s="2">
        <v>-0.35410000000000003</v>
      </c>
    </row>
    <row r="59" spans="1:23" x14ac:dyDescent="0.35">
      <c r="A59" t="s">
        <v>138</v>
      </c>
      <c r="B59" t="s">
        <v>139</v>
      </c>
      <c r="C59" t="s">
        <v>138</v>
      </c>
      <c r="D59">
        <v>4059</v>
      </c>
      <c r="E59">
        <v>99</v>
      </c>
      <c r="F59">
        <v>84</v>
      </c>
      <c r="G59">
        <v>7.7</v>
      </c>
      <c r="H59">
        <v>0.8</v>
      </c>
      <c r="I59">
        <v>75.400000000000006</v>
      </c>
      <c r="K59">
        <v>75.400000000000006</v>
      </c>
      <c r="M59">
        <v>6.31</v>
      </c>
      <c r="N59">
        <v>0</v>
      </c>
      <c r="O59">
        <v>3.2</v>
      </c>
      <c r="P59">
        <v>65.8</v>
      </c>
      <c r="Q59">
        <v>1422.19</v>
      </c>
      <c r="R59">
        <v>41</v>
      </c>
      <c r="S59">
        <v>-1356.4</v>
      </c>
      <c r="T59" s="2">
        <v>-17.999400000000001</v>
      </c>
      <c r="U59">
        <v>270</v>
      </c>
      <c r="V59">
        <v>-1626.4</v>
      </c>
      <c r="W59" s="2">
        <v>-21.5824</v>
      </c>
    </row>
    <row r="60" spans="1:23" x14ac:dyDescent="0.35">
      <c r="A60" t="s">
        <v>140</v>
      </c>
      <c r="B60" t="s">
        <v>141</v>
      </c>
      <c r="C60" t="s">
        <v>140</v>
      </c>
      <c r="D60">
        <v>3839</v>
      </c>
      <c r="E60">
        <v>349</v>
      </c>
      <c r="F60">
        <v>296</v>
      </c>
      <c r="G60">
        <v>7.7</v>
      </c>
      <c r="H60">
        <v>4.9000000000000004</v>
      </c>
      <c r="I60">
        <v>283.10000000000002</v>
      </c>
      <c r="J60">
        <v>50.42</v>
      </c>
      <c r="K60">
        <v>232.7</v>
      </c>
      <c r="L60">
        <v>5</v>
      </c>
      <c r="M60">
        <v>6.31</v>
      </c>
      <c r="N60">
        <v>226.22</v>
      </c>
      <c r="O60">
        <v>3.2</v>
      </c>
      <c r="P60">
        <v>-8</v>
      </c>
      <c r="Q60">
        <v>613.39</v>
      </c>
      <c r="R60">
        <v>11</v>
      </c>
      <c r="S60">
        <v>-621.4</v>
      </c>
      <c r="T60" s="2">
        <v>-2.1947999999999999</v>
      </c>
      <c r="U60">
        <v>270</v>
      </c>
      <c r="V60">
        <v>-891.4</v>
      </c>
      <c r="W60" s="2">
        <v>-3.1484999999999999</v>
      </c>
    </row>
    <row r="61" spans="1:23" x14ac:dyDescent="0.35">
      <c r="A61" t="s">
        <v>142</v>
      </c>
      <c r="B61" t="s">
        <v>143</v>
      </c>
      <c r="C61" t="s">
        <v>29</v>
      </c>
      <c r="D61">
        <v>3694</v>
      </c>
      <c r="E61">
        <v>1847</v>
      </c>
      <c r="F61">
        <v>1565</v>
      </c>
      <c r="G61">
        <v>7.7</v>
      </c>
      <c r="H61">
        <v>46.7</v>
      </c>
      <c r="I61">
        <v>1510.8</v>
      </c>
      <c r="J61">
        <v>381.3</v>
      </c>
      <c r="K61">
        <v>1129.5</v>
      </c>
      <c r="L61">
        <v>16.5</v>
      </c>
      <c r="M61">
        <v>6.31</v>
      </c>
      <c r="N61">
        <v>116.61</v>
      </c>
      <c r="O61">
        <v>3.2</v>
      </c>
      <c r="P61">
        <v>986.9</v>
      </c>
      <c r="Q61">
        <v>1166.2</v>
      </c>
      <c r="R61">
        <v>2</v>
      </c>
      <c r="S61">
        <v>-179.3</v>
      </c>
      <c r="T61" s="2">
        <v>-0.1187</v>
      </c>
      <c r="U61">
        <v>270</v>
      </c>
      <c r="V61">
        <v>-449.3</v>
      </c>
      <c r="W61" s="2">
        <v>-0.2974</v>
      </c>
    </row>
    <row r="62" spans="1:23" x14ac:dyDescent="0.35">
      <c r="A62" t="s">
        <v>144</v>
      </c>
      <c r="B62" t="s">
        <v>145</v>
      </c>
      <c r="C62" t="s">
        <v>29</v>
      </c>
      <c r="D62">
        <v>3302</v>
      </c>
      <c r="E62">
        <v>998</v>
      </c>
      <c r="F62">
        <v>846</v>
      </c>
      <c r="G62">
        <v>7.7</v>
      </c>
      <c r="H62">
        <v>19.100000000000001</v>
      </c>
      <c r="I62">
        <v>818.9</v>
      </c>
      <c r="J62">
        <v>141.74</v>
      </c>
      <c r="K62">
        <v>677.2</v>
      </c>
      <c r="L62">
        <v>10.5</v>
      </c>
      <c r="M62">
        <v>6.31</v>
      </c>
      <c r="N62">
        <v>190.1</v>
      </c>
      <c r="O62">
        <v>3.2</v>
      </c>
      <c r="P62">
        <v>467.1</v>
      </c>
      <c r="Q62">
        <v>572.69000000000005</v>
      </c>
      <c r="R62">
        <v>4</v>
      </c>
      <c r="S62">
        <v>-105.6</v>
      </c>
      <c r="T62" s="2">
        <v>-0.129</v>
      </c>
      <c r="U62">
        <v>270</v>
      </c>
      <c r="V62">
        <v>-375.6</v>
      </c>
      <c r="W62" s="2">
        <v>-0.4587</v>
      </c>
    </row>
    <row r="63" spans="1:23" x14ac:dyDescent="0.35">
      <c r="A63" t="s">
        <v>146</v>
      </c>
      <c r="B63" t="s">
        <v>147</v>
      </c>
      <c r="C63" t="s">
        <v>29</v>
      </c>
      <c r="D63">
        <v>3129</v>
      </c>
      <c r="E63">
        <v>1098</v>
      </c>
      <c r="F63">
        <v>931</v>
      </c>
      <c r="G63">
        <v>7.7</v>
      </c>
      <c r="H63">
        <v>15.1</v>
      </c>
      <c r="I63">
        <v>907.7</v>
      </c>
      <c r="J63">
        <v>134.33000000000001</v>
      </c>
      <c r="K63">
        <v>773.4</v>
      </c>
      <c r="L63">
        <v>15</v>
      </c>
      <c r="M63">
        <v>6.31</v>
      </c>
      <c r="N63">
        <v>0</v>
      </c>
      <c r="O63">
        <v>3.2</v>
      </c>
      <c r="P63">
        <v>748.8</v>
      </c>
      <c r="Q63">
        <v>1679.88</v>
      </c>
      <c r="R63">
        <v>3</v>
      </c>
      <c r="S63">
        <v>-931</v>
      </c>
      <c r="T63" s="2">
        <v>-1.0257000000000001</v>
      </c>
      <c r="U63">
        <v>270</v>
      </c>
      <c r="V63">
        <v>-1201</v>
      </c>
      <c r="W63" s="2">
        <v>-1.3231999999999999</v>
      </c>
    </row>
    <row r="64" spans="1:23" x14ac:dyDescent="0.35">
      <c r="A64" t="s">
        <v>148</v>
      </c>
      <c r="B64" t="s">
        <v>149</v>
      </c>
      <c r="C64" t="s">
        <v>29</v>
      </c>
      <c r="D64">
        <v>3129</v>
      </c>
      <c r="E64">
        <v>1098</v>
      </c>
      <c r="F64">
        <v>931</v>
      </c>
      <c r="G64">
        <v>7.7</v>
      </c>
      <c r="H64">
        <v>14.3</v>
      </c>
      <c r="I64">
        <v>908.5</v>
      </c>
      <c r="J64">
        <v>139.36000000000001</v>
      </c>
      <c r="K64">
        <v>769.1</v>
      </c>
      <c r="L64">
        <v>11.5</v>
      </c>
      <c r="M64">
        <v>6.31</v>
      </c>
      <c r="N64">
        <v>198.62</v>
      </c>
      <c r="O64">
        <v>3.2</v>
      </c>
      <c r="P64">
        <v>549.5</v>
      </c>
      <c r="Q64">
        <v>985.72</v>
      </c>
      <c r="R64">
        <v>3</v>
      </c>
      <c r="S64">
        <v>-436.2</v>
      </c>
      <c r="T64" s="2">
        <v>-0.48020000000000002</v>
      </c>
      <c r="U64">
        <v>270</v>
      </c>
      <c r="V64">
        <v>-706.2</v>
      </c>
      <c r="W64" s="2">
        <v>-0.77739999999999998</v>
      </c>
    </row>
    <row r="65" spans="1:23" x14ac:dyDescent="0.35">
      <c r="A65" t="s">
        <v>150</v>
      </c>
      <c r="B65" t="s">
        <v>151</v>
      </c>
      <c r="C65" t="s">
        <v>29</v>
      </c>
      <c r="D65">
        <v>2246</v>
      </c>
      <c r="E65">
        <v>2246</v>
      </c>
      <c r="F65">
        <v>1903</v>
      </c>
      <c r="G65">
        <v>7.7</v>
      </c>
      <c r="H65">
        <v>112.3</v>
      </c>
      <c r="I65">
        <v>1783.4</v>
      </c>
      <c r="J65">
        <v>309.88</v>
      </c>
      <c r="K65">
        <v>1473.5</v>
      </c>
      <c r="L65">
        <v>25</v>
      </c>
      <c r="M65">
        <v>6.31</v>
      </c>
      <c r="N65">
        <v>189.74</v>
      </c>
      <c r="O65">
        <v>3.2</v>
      </c>
      <c r="P65">
        <v>1249.3</v>
      </c>
      <c r="Q65">
        <v>3290.34</v>
      </c>
      <c r="R65">
        <v>1</v>
      </c>
      <c r="S65">
        <v>-2041.1</v>
      </c>
      <c r="T65" s="2">
        <v>-1.1445000000000001</v>
      </c>
      <c r="U65">
        <v>270</v>
      </c>
      <c r="V65">
        <v>-2311.1</v>
      </c>
      <c r="W65" s="2">
        <v>-1.2959000000000001</v>
      </c>
    </row>
    <row r="66" spans="1:23" x14ac:dyDescent="0.35">
      <c r="A66" t="s">
        <v>152</v>
      </c>
      <c r="B66" t="s">
        <v>153</v>
      </c>
      <c r="C66" t="s">
        <v>29</v>
      </c>
      <c r="D66">
        <v>1800</v>
      </c>
      <c r="E66" t="s">
        <v>154</v>
      </c>
      <c r="F66">
        <v>1048</v>
      </c>
      <c r="G66">
        <v>7.7</v>
      </c>
      <c r="H66">
        <v>15.3</v>
      </c>
      <c r="I66">
        <v>1025</v>
      </c>
      <c r="J66">
        <v>135.4</v>
      </c>
      <c r="K66">
        <v>889.6</v>
      </c>
      <c r="L66">
        <v>13.5</v>
      </c>
      <c r="M66">
        <v>6.31</v>
      </c>
      <c r="N66">
        <v>78.459999999999994</v>
      </c>
      <c r="O66">
        <v>3.2</v>
      </c>
      <c r="P66">
        <v>788.1</v>
      </c>
      <c r="Q66">
        <v>354.02</v>
      </c>
      <c r="R66">
        <v>2</v>
      </c>
      <c r="S66">
        <v>434.1</v>
      </c>
      <c r="T66" s="2">
        <v>0.42349999999999999</v>
      </c>
      <c r="U66">
        <v>270</v>
      </c>
      <c r="V66">
        <v>164.1</v>
      </c>
      <c r="W66" s="2">
        <v>0.16009999999999999</v>
      </c>
    </row>
    <row r="67" spans="1:23" x14ac:dyDescent="0.35">
      <c r="A67" t="s">
        <v>155</v>
      </c>
      <c r="B67" t="s">
        <v>156</v>
      </c>
      <c r="C67" t="s">
        <v>29</v>
      </c>
      <c r="D67">
        <v>1747</v>
      </c>
      <c r="E67">
        <v>1747</v>
      </c>
      <c r="F67">
        <v>1481</v>
      </c>
      <c r="G67">
        <v>7.7</v>
      </c>
      <c r="H67">
        <v>22</v>
      </c>
      <c r="I67">
        <v>1450.8</v>
      </c>
      <c r="J67">
        <v>435.83</v>
      </c>
      <c r="K67">
        <v>1015</v>
      </c>
      <c r="L67">
        <v>20</v>
      </c>
      <c r="M67">
        <v>6.31</v>
      </c>
      <c r="N67">
        <v>605.48</v>
      </c>
      <c r="O67">
        <v>3.2</v>
      </c>
      <c r="P67">
        <v>380</v>
      </c>
      <c r="Q67">
        <v>1707.65</v>
      </c>
      <c r="R67">
        <v>1</v>
      </c>
      <c r="S67">
        <v>-1327.6</v>
      </c>
      <c r="T67" s="2">
        <v>-0.91510000000000002</v>
      </c>
      <c r="U67">
        <v>270</v>
      </c>
      <c r="V67">
        <v>-1597.6</v>
      </c>
      <c r="W67" s="2">
        <v>-1.1012</v>
      </c>
    </row>
    <row r="68" spans="1:23" x14ac:dyDescent="0.35">
      <c r="A68" t="s">
        <v>157</v>
      </c>
      <c r="B68" t="s">
        <v>158</v>
      </c>
      <c r="C68" t="s">
        <v>29</v>
      </c>
      <c r="D68">
        <v>1374</v>
      </c>
      <c r="E68">
        <v>1447</v>
      </c>
      <c r="F68">
        <v>1226</v>
      </c>
      <c r="G68">
        <v>7.7</v>
      </c>
      <c r="H68">
        <v>9.6999999999999993</v>
      </c>
      <c r="I68">
        <v>1208.9000000000001</v>
      </c>
      <c r="J68">
        <v>174.27</v>
      </c>
      <c r="K68">
        <v>1034.5999999999999</v>
      </c>
      <c r="L68">
        <v>16.5</v>
      </c>
      <c r="M68">
        <v>6.31</v>
      </c>
      <c r="N68">
        <v>315.77</v>
      </c>
      <c r="O68">
        <v>3.2</v>
      </c>
      <c r="P68">
        <v>692.8</v>
      </c>
      <c r="Q68">
        <v>2374.0500000000002</v>
      </c>
      <c r="R68">
        <v>1</v>
      </c>
      <c r="S68">
        <v>-1681.2</v>
      </c>
      <c r="T68" s="2">
        <v>-1.3907</v>
      </c>
      <c r="U68">
        <v>270</v>
      </c>
      <c r="V68">
        <v>-1951.2</v>
      </c>
      <c r="W68" s="2">
        <v>-1.6141000000000001</v>
      </c>
    </row>
    <row r="69" spans="1:23" x14ac:dyDescent="0.35">
      <c r="A69" t="s">
        <v>159</v>
      </c>
      <c r="B69" t="s">
        <v>160</v>
      </c>
      <c r="C69" t="s">
        <v>159</v>
      </c>
      <c r="D69">
        <v>940.80010000000004</v>
      </c>
      <c r="E69">
        <v>160</v>
      </c>
      <c r="F69">
        <v>136</v>
      </c>
      <c r="G69">
        <v>7.7</v>
      </c>
      <c r="H69">
        <v>1.4</v>
      </c>
      <c r="I69">
        <v>126.5</v>
      </c>
      <c r="K69">
        <v>126.5</v>
      </c>
      <c r="M69">
        <v>6.31</v>
      </c>
      <c r="N69">
        <v>0</v>
      </c>
      <c r="O69">
        <v>3.2</v>
      </c>
      <c r="P69">
        <v>117</v>
      </c>
      <c r="Q69">
        <v>71.400000000000006</v>
      </c>
      <c r="R69">
        <v>7</v>
      </c>
      <c r="S69">
        <v>45.6</v>
      </c>
      <c r="T69" s="2">
        <v>0.36059999999999998</v>
      </c>
      <c r="U69">
        <v>270</v>
      </c>
      <c r="V69">
        <v>-224.4</v>
      </c>
      <c r="W69" s="2">
        <v>-1.7730999999999999</v>
      </c>
    </row>
    <row r="70" spans="1:23" x14ac:dyDescent="0.35">
      <c r="A70" t="s">
        <v>161</v>
      </c>
      <c r="B70" t="s">
        <v>162</v>
      </c>
      <c r="C70" t="s">
        <v>29</v>
      </c>
      <c r="D70">
        <v>845</v>
      </c>
      <c r="E70">
        <v>1098</v>
      </c>
      <c r="F70">
        <v>931</v>
      </c>
      <c r="G70">
        <v>7.7</v>
      </c>
      <c r="H70">
        <v>5</v>
      </c>
      <c r="I70">
        <v>917.8</v>
      </c>
      <c r="J70">
        <v>212</v>
      </c>
      <c r="K70">
        <v>705.8</v>
      </c>
      <c r="L70">
        <v>11</v>
      </c>
      <c r="M70">
        <v>6.31</v>
      </c>
      <c r="N70">
        <v>297.08</v>
      </c>
      <c r="O70">
        <v>3.2</v>
      </c>
      <c r="P70">
        <v>388.2</v>
      </c>
      <c r="Q70">
        <v>3790.14</v>
      </c>
      <c r="R70">
        <v>1</v>
      </c>
      <c r="S70">
        <v>-3401.9</v>
      </c>
      <c r="T70" s="2">
        <v>-3.7063999999999999</v>
      </c>
      <c r="U70">
        <v>270</v>
      </c>
      <c r="V70">
        <v>-3671.9</v>
      </c>
      <c r="W70" s="2">
        <v>-4.0006000000000004</v>
      </c>
    </row>
    <row r="71" spans="1:23" x14ac:dyDescent="0.35">
      <c r="A71" t="s">
        <v>163</v>
      </c>
      <c r="B71" t="s">
        <v>164</v>
      </c>
      <c r="C71" t="s">
        <v>163</v>
      </c>
      <c r="D71">
        <v>844</v>
      </c>
      <c r="E71">
        <v>549</v>
      </c>
      <c r="F71">
        <v>465</v>
      </c>
      <c r="G71">
        <v>7.7</v>
      </c>
      <c r="H71">
        <v>2.8</v>
      </c>
      <c r="I71">
        <v>454.7</v>
      </c>
      <c r="J71">
        <v>106</v>
      </c>
      <c r="K71">
        <v>348.7</v>
      </c>
      <c r="L71">
        <v>5.5</v>
      </c>
      <c r="M71">
        <v>6.31</v>
      </c>
      <c r="N71">
        <v>0</v>
      </c>
      <c r="O71">
        <v>3.2</v>
      </c>
      <c r="P71">
        <v>333.7</v>
      </c>
      <c r="Q71">
        <v>124.95</v>
      </c>
      <c r="R71">
        <v>2</v>
      </c>
      <c r="S71">
        <v>208.8</v>
      </c>
      <c r="T71" s="2">
        <v>0.45910000000000001</v>
      </c>
      <c r="U71">
        <v>270</v>
      </c>
      <c r="V71">
        <v>-61.2</v>
      </c>
      <c r="W71" s="2">
        <v>-0.1346</v>
      </c>
    </row>
    <row r="72" spans="1:23" x14ac:dyDescent="0.35">
      <c r="A72" t="s">
        <v>138</v>
      </c>
      <c r="B72" t="s">
        <v>165</v>
      </c>
      <c r="C72" t="s">
        <v>138</v>
      </c>
      <c r="D72">
        <v>791.99990000000003</v>
      </c>
      <c r="E72">
        <v>99</v>
      </c>
      <c r="F72">
        <v>84</v>
      </c>
      <c r="G72">
        <v>7.7</v>
      </c>
      <c r="H72">
        <v>0.7</v>
      </c>
      <c r="I72">
        <v>75.5</v>
      </c>
      <c r="K72">
        <v>75.5</v>
      </c>
      <c r="M72">
        <v>6.31</v>
      </c>
      <c r="N72">
        <v>0</v>
      </c>
      <c r="O72">
        <v>3.2</v>
      </c>
      <c r="P72">
        <v>66</v>
      </c>
      <c r="Q72">
        <v>708.05</v>
      </c>
      <c r="R72">
        <v>8</v>
      </c>
      <c r="S72">
        <v>-642.1</v>
      </c>
      <c r="T72" s="2">
        <v>-8.5028000000000006</v>
      </c>
      <c r="U72">
        <v>270</v>
      </c>
      <c r="V72">
        <v>-912.1</v>
      </c>
      <c r="W72" s="2">
        <v>-12.0785</v>
      </c>
    </row>
    <row r="73" spans="1:23" x14ac:dyDescent="0.35">
      <c r="A73" t="s">
        <v>166</v>
      </c>
      <c r="B73" t="s">
        <v>167</v>
      </c>
      <c r="C73" t="s">
        <v>29</v>
      </c>
      <c r="D73">
        <v>710</v>
      </c>
      <c r="E73">
        <v>748</v>
      </c>
      <c r="F73">
        <v>634</v>
      </c>
      <c r="G73">
        <v>7.7</v>
      </c>
      <c r="H73">
        <v>6.7</v>
      </c>
      <c r="I73">
        <v>619.5</v>
      </c>
      <c r="J73">
        <v>104.42</v>
      </c>
      <c r="K73">
        <v>515.1</v>
      </c>
      <c r="L73">
        <v>13.5</v>
      </c>
      <c r="M73">
        <v>6.31</v>
      </c>
      <c r="N73">
        <v>323.73</v>
      </c>
      <c r="O73">
        <v>3.2</v>
      </c>
      <c r="P73">
        <v>168.3</v>
      </c>
      <c r="Q73">
        <v>2915.5</v>
      </c>
      <c r="R73">
        <v>1</v>
      </c>
      <c r="S73">
        <v>-2747.2</v>
      </c>
      <c r="T73" s="2">
        <v>-4.4344000000000001</v>
      </c>
      <c r="U73">
        <v>270</v>
      </c>
      <c r="V73">
        <v>-3017.2</v>
      </c>
      <c r="W73" s="2">
        <v>-4.8703000000000003</v>
      </c>
    </row>
    <row r="74" spans="1:23" x14ac:dyDescent="0.35">
      <c r="A74" t="s">
        <v>168</v>
      </c>
      <c r="B74" t="s">
        <v>169</v>
      </c>
      <c r="C74" t="s">
        <v>168</v>
      </c>
      <c r="D74">
        <v>664</v>
      </c>
      <c r="E74">
        <v>699</v>
      </c>
      <c r="F74">
        <v>592</v>
      </c>
      <c r="G74">
        <v>7.7</v>
      </c>
      <c r="H74" t="e">
        <f>#N/A</f>
        <v>#N/A</v>
      </c>
      <c r="I74" t="e">
        <f>#N/A</f>
        <v>#N/A</v>
      </c>
      <c r="J74">
        <v>105</v>
      </c>
      <c r="K74" t="e">
        <f>#N/A</f>
        <v>#N/A</v>
      </c>
      <c r="L74">
        <v>8.5</v>
      </c>
      <c r="M74">
        <v>6.31</v>
      </c>
      <c r="N74">
        <v>6583.12</v>
      </c>
      <c r="O74">
        <v>3.2</v>
      </c>
      <c r="P74" t="e">
        <f>#N/A</f>
        <v>#N/A</v>
      </c>
      <c r="Q74">
        <v>52812.12</v>
      </c>
      <c r="R74">
        <v>1</v>
      </c>
      <c r="S74" t="e">
        <f>#N/A</f>
        <v>#N/A</v>
      </c>
      <c r="T74" t="e">
        <f>#N/A</f>
        <v>#N/A</v>
      </c>
      <c r="U74">
        <v>270</v>
      </c>
      <c r="V74" t="e">
        <f>#N/A</f>
        <v>#N/A</v>
      </c>
      <c r="W74" t="e">
        <f>#N/A</f>
        <v>#N/A</v>
      </c>
    </row>
    <row r="75" spans="1:23" x14ac:dyDescent="0.35">
      <c r="A75" t="s">
        <v>170</v>
      </c>
      <c r="B75" t="s">
        <v>171</v>
      </c>
      <c r="C75" t="s">
        <v>170</v>
      </c>
      <c r="D75">
        <v>549</v>
      </c>
      <c r="E75">
        <v>549</v>
      </c>
      <c r="F75">
        <v>465</v>
      </c>
      <c r="G75">
        <v>7.7</v>
      </c>
      <c r="H75">
        <v>10.1</v>
      </c>
      <c r="I75">
        <v>447.5</v>
      </c>
      <c r="K75">
        <v>447.5</v>
      </c>
      <c r="M75">
        <v>6.31</v>
      </c>
      <c r="N75">
        <v>0</v>
      </c>
      <c r="O75">
        <v>3.2</v>
      </c>
      <c r="P75">
        <v>438</v>
      </c>
      <c r="Q75">
        <v>708.05</v>
      </c>
      <c r="R75">
        <v>1</v>
      </c>
      <c r="S75">
        <v>-270.10000000000002</v>
      </c>
      <c r="T75" s="2">
        <v>-0.60360000000000003</v>
      </c>
      <c r="U75">
        <v>270</v>
      </c>
      <c r="V75">
        <v>-540.1</v>
      </c>
      <c r="W75" s="2">
        <v>-1.2069000000000001</v>
      </c>
    </row>
    <row r="76" spans="1:23" x14ac:dyDescent="0.35">
      <c r="A76" t="s">
        <v>172</v>
      </c>
      <c r="B76" t="s">
        <v>173</v>
      </c>
      <c r="C76" t="s">
        <v>172</v>
      </c>
      <c r="D76">
        <v>299</v>
      </c>
      <c r="E76">
        <v>299</v>
      </c>
      <c r="F76">
        <v>253</v>
      </c>
      <c r="G76">
        <v>7.7</v>
      </c>
      <c r="H76">
        <v>6</v>
      </c>
      <c r="I76">
        <v>239.7</v>
      </c>
      <c r="J76">
        <v>34</v>
      </c>
      <c r="K76">
        <v>205.7</v>
      </c>
      <c r="L76">
        <v>4</v>
      </c>
      <c r="M76">
        <v>6.31</v>
      </c>
      <c r="N76">
        <v>0</v>
      </c>
      <c r="O76">
        <v>3.2</v>
      </c>
      <c r="P76">
        <v>192.2</v>
      </c>
      <c r="Q76">
        <v>833</v>
      </c>
      <c r="R76">
        <v>1</v>
      </c>
      <c r="S76">
        <v>-640.79999999999995</v>
      </c>
      <c r="T76" s="2">
        <v>-2.6732</v>
      </c>
      <c r="U76">
        <v>270</v>
      </c>
      <c r="V76">
        <v>-910.8</v>
      </c>
      <c r="W76" s="2">
        <v>-3.7995999999999999</v>
      </c>
    </row>
    <row r="77" spans="1:23" x14ac:dyDescent="0.35">
      <c r="A77" t="s">
        <v>154</v>
      </c>
      <c r="B77" t="s">
        <v>174</v>
      </c>
      <c r="C77" t="s">
        <v>154</v>
      </c>
      <c r="D77">
        <v>0</v>
      </c>
      <c r="E77" t="s">
        <v>154</v>
      </c>
      <c r="F77" t="s">
        <v>154</v>
      </c>
      <c r="G77">
        <v>7.7</v>
      </c>
      <c r="H77" t="e">
        <f>#N/A</f>
        <v>#N/A</v>
      </c>
      <c r="I77" t="e">
        <f>#N/A</f>
        <v>#N/A</v>
      </c>
      <c r="K77" t="e">
        <f>#N/A</f>
        <v>#N/A</v>
      </c>
      <c r="M77">
        <v>6.31</v>
      </c>
      <c r="N77">
        <v>0</v>
      </c>
      <c r="O77">
        <v>3.2</v>
      </c>
      <c r="P77" t="e">
        <f>#N/A</f>
        <v>#N/A</v>
      </c>
      <c r="Q77" t="e">
        <f>#DIV/0!</f>
        <v>#DIV/0!</v>
      </c>
      <c r="R77">
        <v>0</v>
      </c>
      <c r="S77" t="e">
        <f>#N/A</f>
        <v>#N/A</v>
      </c>
      <c r="T77" t="e">
        <f>#N/A</f>
        <v>#N/A</v>
      </c>
      <c r="U77">
        <v>270</v>
      </c>
      <c r="V77" t="e">
        <f>#N/A</f>
        <v>#N/A</v>
      </c>
      <c r="W77" t="e">
        <f>#N/A</f>
        <v>#N/A</v>
      </c>
    </row>
    <row r="78" spans="1:23" x14ac:dyDescent="0.35">
      <c r="A78" t="s">
        <v>154</v>
      </c>
      <c r="B78" t="s">
        <v>175</v>
      </c>
      <c r="C78" t="s">
        <v>154</v>
      </c>
      <c r="D78">
        <v>0</v>
      </c>
      <c r="E78" t="s">
        <v>154</v>
      </c>
      <c r="F78" t="s">
        <v>154</v>
      </c>
      <c r="G78">
        <v>7.7</v>
      </c>
      <c r="H78" t="e">
        <f>#N/A</f>
        <v>#N/A</v>
      </c>
      <c r="I78" t="e">
        <f>#N/A</f>
        <v>#N/A</v>
      </c>
      <c r="K78" t="e">
        <f>#N/A</f>
        <v>#N/A</v>
      </c>
      <c r="M78">
        <v>6.31</v>
      </c>
      <c r="N78">
        <v>0</v>
      </c>
      <c r="O78">
        <v>3.2</v>
      </c>
      <c r="P78" t="e">
        <f>#N/A</f>
        <v>#N/A</v>
      </c>
      <c r="Q78" t="e">
        <f>#DIV/0!</f>
        <v>#DIV/0!</v>
      </c>
      <c r="R78">
        <v>0</v>
      </c>
      <c r="S78" t="e">
        <f>#N/A</f>
        <v>#N/A</v>
      </c>
      <c r="T78" t="e">
        <f>#N/A</f>
        <v>#N/A</v>
      </c>
      <c r="U78">
        <v>270</v>
      </c>
      <c r="V78" t="e">
        <f>#N/A</f>
        <v>#N/A</v>
      </c>
      <c r="W78" t="e">
        <f>#N/A</f>
        <v>#N/A</v>
      </c>
    </row>
    <row r="79" spans="1:23" x14ac:dyDescent="0.35">
      <c r="A79" t="s">
        <v>154</v>
      </c>
      <c r="B79" t="s">
        <v>176</v>
      </c>
      <c r="C79" t="s">
        <v>154</v>
      </c>
      <c r="D79">
        <v>0</v>
      </c>
      <c r="E79" t="s">
        <v>154</v>
      </c>
      <c r="F79" t="s">
        <v>154</v>
      </c>
      <c r="G79">
        <v>7.7</v>
      </c>
      <c r="H79" t="e">
        <f>#N/A</f>
        <v>#N/A</v>
      </c>
      <c r="I79" t="e">
        <f>#N/A</f>
        <v>#N/A</v>
      </c>
      <c r="K79" t="e">
        <f>#N/A</f>
        <v>#N/A</v>
      </c>
      <c r="M79">
        <v>6.31</v>
      </c>
      <c r="N79">
        <v>0</v>
      </c>
      <c r="O79">
        <v>3.2</v>
      </c>
      <c r="P79" t="e">
        <f>#N/A</f>
        <v>#N/A</v>
      </c>
      <c r="Q79" t="e">
        <f>#DIV/0!</f>
        <v>#DIV/0!</v>
      </c>
      <c r="R79">
        <v>0</v>
      </c>
      <c r="S79" t="e">
        <f>#N/A</f>
        <v>#N/A</v>
      </c>
      <c r="T79" t="e">
        <f>#N/A</f>
        <v>#N/A</v>
      </c>
      <c r="U79">
        <v>270</v>
      </c>
      <c r="V79" t="e">
        <f>#N/A</f>
        <v>#N/A</v>
      </c>
      <c r="W79" t="e">
        <f>#N/A</f>
        <v>#N/A</v>
      </c>
    </row>
    <row r="80" spans="1:23" x14ac:dyDescent="0.35">
      <c r="A80" t="s">
        <v>177</v>
      </c>
      <c r="B80" t="s">
        <v>178</v>
      </c>
      <c r="C80" t="s">
        <v>29</v>
      </c>
      <c r="D80">
        <v>0</v>
      </c>
      <c r="E80">
        <v>1797</v>
      </c>
      <c r="F80">
        <v>1523</v>
      </c>
      <c r="G80">
        <v>7.7</v>
      </c>
      <c r="H80" t="e">
        <f>#N/A</f>
        <v>#N/A</v>
      </c>
      <c r="I80" t="e">
        <f>#N/A</f>
        <v>#N/A</v>
      </c>
      <c r="K80" t="e">
        <f>#N/A</f>
        <v>#N/A</v>
      </c>
      <c r="M80">
        <v>6.31</v>
      </c>
      <c r="N80">
        <v>0</v>
      </c>
      <c r="O80">
        <v>3.2</v>
      </c>
      <c r="P80" t="e">
        <f>#N/A</f>
        <v>#N/A</v>
      </c>
      <c r="Q80" t="e">
        <f>#DIV/0!</f>
        <v>#DIV/0!</v>
      </c>
      <c r="R80">
        <v>0</v>
      </c>
      <c r="S80" t="e">
        <f>#N/A</f>
        <v>#N/A</v>
      </c>
      <c r="T80" t="e">
        <f>#N/A</f>
        <v>#N/A</v>
      </c>
      <c r="U80">
        <v>270</v>
      </c>
      <c r="V80" t="e">
        <f>#N/A</f>
        <v>#N/A</v>
      </c>
      <c r="W80" t="e">
        <f>#N/A</f>
        <v>#N/A</v>
      </c>
    </row>
    <row r="81" spans="1:23" x14ac:dyDescent="0.35">
      <c r="A81" t="s">
        <v>120</v>
      </c>
      <c r="B81" t="s">
        <v>179</v>
      </c>
      <c r="C81" t="s">
        <v>120</v>
      </c>
      <c r="D81">
        <v>0</v>
      </c>
      <c r="E81">
        <v>399</v>
      </c>
      <c r="F81">
        <v>338</v>
      </c>
      <c r="G81">
        <v>7.7</v>
      </c>
      <c r="H81" t="e">
        <f>#N/A</f>
        <v>#N/A</v>
      </c>
      <c r="I81" t="e">
        <f>#N/A</f>
        <v>#N/A</v>
      </c>
      <c r="K81" t="e">
        <f>#N/A</f>
        <v>#N/A</v>
      </c>
      <c r="M81">
        <v>6.31</v>
      </c>
      <c r="N81">
        <v>0</v>
      </c>
      <c r="O81">
        <v>3.2</v>
      </c>
      <c r="P81" t="e">
        <f>#N/A</f>
        <v>#N/A</v>
      </c>
      <c r="Q81" t="e">
        <f>#DIV/0!</f>
        <v>#DIV/0!</v>
      </c>
      <c r="R81">
        <v>0</v>
      </c>
      <c r="S81" t="e">
        <f>#N/A</f>
        <v>#N/A</v>
      </c>
      <c r="T81" t="e">
        <f>#N/A</f>
        <v>#N/A</v>
      </c>
      <c r="U81">
        <v>270</v>
      </c>
      <c r="V81" t="e">
        <f>#N/A</f>
        <v>#N/A</v>
      </c>
      <c r="W81" t="e">
        <f>#N/A</f>
        <v>#N/A</v>
      </c>
    </row>
    <row r="82" spans="1:23" x14ac:dyDescent="0.35">
      <c r="A82" t="s">
        <v>120</v>
      </c>
      <c r="B82" t="s">
        <v>180</v>
      </c>
      <c r="C82" t="s">
        <v>120</v>
      </c>
      <c r="D82">
        <v>0</v>
      </c>
      <c r="E82">
        <v>3990</v>
      </c>
      <c r="F82">
        <v>3381</v>
      </c>
      <c r="G82">
        <v>7.7</v>
      </c>
      <c r="H82" t="e">
        <f>#N/A</f>
        <v>#N/A</v>
      </c>
      <c r="I82" t="e">
        <f>#N/A</f>
        <v>#N/A</v>
      </c>
      <c r="K82" t="e">
        <f>#N/A</f>
        <v>#N/A</v>
      </c>
      <c r="M82">
        <v>6.31</v>
      </c>
      <c r="N82">
        <v>0</v>
      </c>
      <c r="O82">
        <v>3.2</v>
      </c>
      <c r="P82" t="e">
        <f>#N/A</f>
        <v>#N/A</v>
      </c>
      <c r="Q82" t="e">
        <f>#DIV/0!</f>
        <v>#DIV/0!</v>
      </c>
      <c r="R82">
        <v>0</v>
      </c>
      <c r="S82" t="e">
        <f>#N/A</f>
        <v>#N/A</v>
      </c>
      <c r="T82" t="e">
        <f>#N/A</f>
        <v>#N/A</v>
      </c>
      <c r="U82">
        <v>270</v>
      </c>
      <c r="V82" t="e">
        <f>#N/A</f>
        <v>#N/A</v>
      </c>
      <c r="W82" t="e">
        <f>#N/A</f>
        <v>#N/A</v>
      </c>
    </row>
    <row r="83" spans="1:23" x14ac:dyDescent="0.35">
      <c r="A83" t="s">
        <v>120</v>
      </c>
      <c r="B83" t="s">
        <v>181</v>
      </c>
      <c r="C83" t="s">
        <v>120</v>
      </c>
      <c r="D83">
        <v>0</v>
      </c>
      <c r="E83">
        <v>1995</v>
      </c>
      <c r="F83">
        <v>1691</v>
      </c>
      <c r="G83">
        <v>7.7</v>
      </c>
      <c r="H83" t="e">
        <f>#N/A</f>
        <v>#N/A</v>
      </c>
      <c r="I83" t="e">
        <f>#N/A</f>
        <v>#N/A</v>
      </c>
      <c r="K83" t="e">
        <f>#N/A</f>
        <v>#N/A</v>
      </c>
      <c r="M83">
        <v>6.31</v>
      </c>
      <c r="N83">
        <v>0</v>
      </c>
      <c r="O83">
        <v>3.2</v>
      </c>
      <c r="P83" t="e">
        <f>#N/A</f>
        <v>#N/A</v>
      </c>
      <c r="Q83" t="e">
        <f>#DIV/0!</f>
        <v>#DIV/0!</v>
      </c>
      <c r="R83">
        <v>0</v>
      </c>
      <c r="S83" t="e">
        <f>#N/A</f>
        <v>#N/A</v>
      </c>
      <c r="T83" t="e">
        <f>#N/A</f>
        <v>#N/A</v>
      </c>
      <c r="U83">
        <v>270</v>
      </c>
      <c r="V83" t="e">
        <f>#N/A</f>
        <v>#N/A</v>
      </c>
      <c r="W83" t="e">
        <f>#N/A</f>
        <v>#N/A</v>
      </c>
    </row>
    <row r="84" spans="1:23" x14ac:dyDescent="0.35">
      <c r="A84" t="s">
        <v>120</v>
      </c>
      <c r="B84" t="s">
        <v>182</v>
      </c>
      <c r="C84" t="s">
        <v>120</v>
      </c>
      <c r="D84">
        <v>0</v>
      </c>
      <c r="E84">
        <v>1995</v>
      </c>
      <c r="F84">
        <v>1691</v>
      </c>
      <c r="G84">
        <v>7.7</v>
      </c>
      <c r="H84" t="e">
        <f>#N/A</f>
        <v>#N/A</v>
      </c>
      <c r="I84" t="e">
        <f>#N/A</f>
        <v>#N/A</v>
      </c>
      <c r="K84" t="e">
        <f>#N/A</f>
        <v>#N/A</v>
      </c>
      <c r="M84">
        <v>6.31</v>
      </c>
      <c r="N84">
        <v>0</v>
      </c>
      <c r="O84">
        <v>3.2</v>
      </c>
      <c r="P84" t="e">
        <f>#N/A</f>
        <v>#N/A</v>
      </c>
      <c r="Q84" t="e">
        <f>#DIV/0!</f>
        <v>#DIV/0!</v>
      </c>
      <c r="R84">
        <v>0</v>
      </c>
      <c r="S84" t="e">
        <f>#N/A</f>
        <v>#N/A</v>
      </c>
      <c r="T84" t="e">
        <f>#N/A</f>
        <v>#N/A</v>
      </c>
      <c r="U84">
        <v>270</v>
      </c>
      <c r="V84" t="e">
        <f>#N/A</f>
        <v>#N/A</v>
      </c>
      <c r="W84" t="e">
        <f>#N/A</f>
        <v>#N/A</v>
      </c>
    </row>
    <row r="85" spans="1:23" x14ac:dyDescent="0.35">
      <c r="A85" t="s">
        <v>163</v>
      </c>
      <c r="B85" t="s">
        <v>183</v>
      </c>
      <c r="C85" t="s">
        <v>163</v>
      </c>
      <c r="D85">
        <v>0</v>
      </c>
      <c r="E85">
        <v>549</v>
      </c>
      <c r="F85">
        <v>465</v>
      </c>
      <c r="G85">
        <v>7.7</v>
      </c>
      <c r="H85" t="e">
        <f>#N/A</f>
        <v>#N/A</v>
      </c>
      <c r="I85" t="e">
        <f>#N/A</f>
        <v>#N/A</v>
      </c>
      <c r="K85" t="e">
        <f>#N/A</f>
        <v>#N/A</v>
      </c>
      <c r="M85">
        <v>6.31</v>
      </c>
      <c r="N85">
        <v>0</v>
      </c>
      <c r="O85">
        <v>3.2</v>
      </c>
      <c r="P85" t="e">
        <f>#N/A</f>
        <v>#N/A</v>
      </c>
      <c r="Q85" t="e">
        <f>#DIV/0!</f>
        <v>#DIV/0!</v>
      </c>
      <c r="R85">
        <v>0</v>
      </c>
      <c r="S85" t="e">
        <f>#N/A</f>
        <v>#N/A</v>
      </c>
      <c r="T85" t="e">
        <f>#N/A</f>
        <v>#N/A</v>
      </c>
      <c r="U85">
        <v>270</v>
      </c>
      <c r="V85" t="e">
        <f>#N/A</f>
        <v>#N/A</v>
      </c>
      <c r="W85" t="e">
        <f>#N/A</f>
        <v>#N/A</v>
      </c>
    </row>
    <row r="86" spans="1:23" x14ac:dyDescent="0.35">
      <c r="A86" t="s">
        <v>170</v>
      </c>
      <c r="B86" t="s">
        <v>184</v>
      </c>
      <c r="C86" t="s">
        <v>170</v>
      </c>
      <c r="D86">
        <v>0</v>
      </c>
      <c r="E86">
        <v>549</v>
      </c>
      <c r="F86">
        <v>465</v>
      </c>
      <c r="G86">
        <v>7.7</v>
      </c>
      <c r="H86" t="e">
        <f>#N/A</f>
        <v>#N/A</v>
      </c>
      <c r="I86" t="e">
        <f>#N/A</f>
        <v>#N/A</v>
      </c>
      <c r="K86" t="e">
        <f>#N/A</f>
        <v>#N/A</v>
      </c>
      <c r="M86">
        <v>6.31</v>
      </c>
      <c r="N86">
        <v>0</v>
      </c>
      <c r="O86">
        <v>3.2</v>
      </c>
      <c r="P86" t="e">
        <f>#N/A</f>
        <v>#N/A</v>
      </c>
      <c r="Q86" t="e">
        <f>#DIV/0!</f>
        <v>#DIV/0!</v>
      </c>
      <c r="R86">
        <v>0</v>
      </c>
      <c r="S86" t="e">
        <f>#N/A</f>
        <v>#N/A</v>
      </c>
      <c r="T86" t="e">
        <f>#N/A</f>
        <v>#N/A</v>
      </c>
      <c r="U86">
        <v>270</v>
      </c>
      <c r="V86" t="e">
        <f>#N/A</f>
        <v>#N/A</v>
      </c>
      <c r="W86" t="e">
        <f>#N/A</f>
        <v>#N/A</v>
      </c>
    </row>
    <row r="87" spans="1:23" x14ac:dyDescent="0.35">
      <c r="A87" t="s">
        <v>163</v>
      </c>
      <c r="B87" t="s">
        <v>185</v>
      </c>
      <c r="C87" t="s">
        <v>163</v>
      </c>
      <c r="D87">
        <v>0</v>
      </c>
      <c r="E87">
        <v>549</v>
      </c>
      <c r="F87">
        <v>465</v>
      </c>
      <c r="G87">
        <v>7.7</v>
      </c>
      <c r="H87" t="e">
        <f>#N/A</f>
        <v>#N/A</v>
      </c>
      <c r="I87" t="e">
        <f>#N/A</f>
        <v>#N/A</v>
      </c>
      <c r="K87" t="e">
        <f>#N/A</f>
        <v>#N/A</v>
      </c>
      <c r="M87">
        <v>6.31</v>
      </c>
      <c r="N87">
        <v>0</v>
      </c>
      <c r="O87">
        <v>3.2</v>
      </c>
      <c r="P87" t="e">
        <f>#N/A</f>
        <v>#N/A</v>
      </c>
      <c r="Q87" t="e">
        <f>#DIV/0!</f>
        <v>#DIV/0!</v>
      </c>
      <c r="R87">
        <v>0</v>
      </c>
      <c r="S87" t="e">
        <f>#N/A</f>
        <v>#N/A</v>
      </c>
      <c r="T87" t="e">
        <f>#N/A</f>
        <v>#N/A</v>
      </c>
      <c r="U87">
        <v>270</v>
      </c>
      <c r="V87" t="e">
        <f>#N/A</f>
        <v>#N/A</v>
      </c>
      <c r="W87" t="e">
        <f>#N/A</f>
        <v>#N/A</v>
      </c>
    </row>
    <row r="88" spans="1:23" x14ac:dyDescent="0.35">
      <c r="A88" t="s">
        <v>186</v>
      </c>
      <c r="B88" t="s">
        <v>187</v>
      </c>
      <c r="C88" t="s">
        <v>186</v>
      </c>
      <c r="D88">
        <v>0</v>
      </c>
      <c r="E88">
        <v>200</v>
      </c>
      <c r="F88">
        <v>169</v>
      </c>
      <c r="G88">
        <v>7.7</v>
      </c>
      <c r="H88" t="e">
        <f>#N/A</f>
        <v>#N/A</v>
      </c>
      <c r="I88" t="e">
        <f>#N/A</f>
        <v>#N/A</v>
      </c>
      <c r="K88" t="e">
        <f>#N/A</f>
        <v>#N/A</v>
      </c>
      <c r="M88">
        <v>6.31</v>
      </c>
      <c r="N88">
        <v>0</v>
      </c>
      <c r="O88">
        <v>3.2</v>
      </c>
      <c r="P88" t="e">
        <f>#N/A</f>
        <v>#N/A</v>
      </c>
      <c r="Q88" t="e">
        <f>#DIV/0!</f>
        <v>#DIV/0!</v>
      </c>
      <c r="R88">
        <v>0</v>
      </c>
      <c r="S88" t="e">
        <f>#N/A</f>
        <v>#N/A</v>
      </c>
      <c r="T88" t="e">
        <f>#N/A</f>
        <v>#N/A</v>
      </c>
      <c r="U88">
        <v>270</v>
      </c>
      <c r="V88" t="e">
        <f>#N/A</f>
        <v>#N/A</v>
      </c>
      <c r="W88" t="e">
        <f>#N/A</f>
        <v>#N/A</v>
      </c>
    </row>
    <row r="89" spans="1:23" x14ac:dyDescent="0.35">
      <c r="A89" t="s">
        <v>188</v>
      </c>
      <c r="B89" t="s">
        <v>189</v>
      </c>
      <c r="C89" t="s">
        <v>188</v>
      </c>
      <c r="D89">
        <v>0</v>
      </c>
      <c r="E89">
        <v>200</v>
      </c>
      <c r="F89">
        <v>169</v>
      </c>
      <c r="G89">
        <v>7.7</v>
      </c>
      <c r="H89" t="e">
        <f>#N/A</f>
        <v>#N/A</v>
      </c>
      <c r="I89" t="e">
        <f>#N/A</f>
        <v>#N/A</v>
      </c>
      <c r="K89" t="e">
        <f>#N/A</f>
        <v>#N/A</v>
      </c>
      <c r="M89">
        <v>6.31</v>
      </c>
      <c r="N89">
        <v>0</v>
      </c>
      <c r="O89">
        <v>3.2</v>
      </c>
      <c r="P89" t="e">
        <f>#N/A</f>
        <v>#N/A</v>
      </c>
      <c r="Q89" t="e">
        <f>#DIV/0!</f>
        <v>#DIV/0!</v>
      </c>
      <c r="R89">
        <v>0</v>
      </c>
      <c r="S89" t="e">
        <f>#N/A</f>
        <v>#N/A</v>
      </c>
      <c r="T89" t="e">
        <f>#N/A</f>
        <v>#N/A</v>
      </c>
      <c r="U89">
        <v>270</v>
      </c>
      <c r="V89" t="e">
        <f>#N/A</f>
        <v>#N/A</v>
      </c>
      <c r="W89" t="e">
        <f>#N/A</f>
        <v>#N/A</v>
      </c>
    </row>
    <row r="90" spans="1:23" x14ac:dyDescent="0.35">
      <c r="A90" t="s">
        <v>126</v>
      </c>
      <c r="B90" t="s">
        <v>190</v>
      </c>
      <c r="C90" t="s">
        <v>126</v>
      </c>
      <c r="D90">
        <v>0</v>
      </c>
      <c r="E90">
        <v>399</v>
      </c>
      <c r="F90">
        <v>338</v>
      </c>
      <c r="G90">
        <v>7.7</v>
      </c>
      <c r="H90" t="e">
        <f>#N/A</f>
        <v>#N/A</v>
      </c>
      <c r="I90" t="e">
        <f>#N/A</f>
        <v>#N/A</v>
      </c>
      <c r="K90" t="e">
        <f>#N/A</f>
        <v>#N/A</v>
      </c>
      <c r="M90">
        <v>6.31</v>
      </c>
      <c r="N90">
        <v>0</v>
      </c>
      <c r="O90">
        <v>3.2</v>
      </c>
      <c r="P90" t="e">
        <f>#N/A</f>
        <v>#N/A</v>
      </c>
      <c r="Q90" t="e">
        <f>#DIV/0!</f>
        <v>#DIV/0!</v>
      </c>
      <c r="R90">
        <v>0</v>
      </c>
      <c r="S90" t="e">
        <f>#N/A</f>
        <v>#N/A</v>
      </c>
      <c r="T90" t="e">
        <f>#N/A</f>
        <v>#N/A</v>
      </c>
      <c r="U90">
        <v>270</v>
      </c>
      <c r="V90" t="e">
        <f>#N/A</f>
        <v>#N/A</v>
      </c>
      <c r="W90" t="e">
        <f>#N/A</f>
        <v>#N/A</v>
      </c>
    </row>
    <row r="91" spans="1:23" x14ac:dyDescent="0.35">
      <c r="A91" t="s">
        <v>126</v>
      </c>
      <c r="B91" t="s">
        <v>191</v>
      </c>
      <c r="C91" t="s">
        <v>126</v>
      </c>
      <c r="D91">
        <v>0</v>
      </c>
      <c r="E91">
        <v>3990</v>
      </c>
      <c r="F91">
        <v>3381</v>
      </c>
      <c r="G91">
        <v>7.7</v>
      </c>
      <c r="H91" t="e">
        <f>#N/A</f>
        <v>#N/A</v>
      </c>
      <c r="I91" t="e">
        <f>#N/A</f>
        <v>#N/A</v>
      </c>
      <c r="K91" t="e">
        <f>#N/A</f>
        <v>#N/A</v>
      </c>
      <c r="M91">
        <v>6.31</v>
      </c>
      <c r="N91">
        <v>0</v>
      </c>
      <c r="O91">
        <v>3.2</v>
      </c>
      <c r="P91" t="e">
        <f>#N/A</f>
        <v>#N/A</v>
      </c>
      <c r="Q91" t="e">
        <f>#DIV/0!</f>
        <v>#DIV/0!</v>
      </c>
      <c r="R91">
        <v>0</v>
      </c>
      <c r="S91" t="e">
        <f>#N/A</f>
        <v>#N/A</v>
      </c>
      <c r="T91" t="e">
        <f>#N/A</f>
        <v>#N/A</v>
      </c>
      <c r="U91">
        <v>270</v>
      </c>
      <c r="V91" t="e">
        <f>#N/A</f>
        <v>#N/A</v>
      </c>
      <c r="W91" t="e">
        <f>#N/A</f>
        <v>#N/A</v>
      </c>
    </row>
    <row r="92" spans="1:23" x14ac:dyDescent="0.35">
      <c r="A92" t="s">
        <v>126</v>
      </c>
      <c r="B92" t="s">
        <v>192</v>
      </c>
      <c r="C92" t="s">
        <v>126</v>
      </c>
      <c r="D92">
        <v>0</v>
      </c>
      <c r="E92">
        <v>1995</v>
      </c>
      <c r="F92">
        <v>1691</v>
      </c>
      <c r="G92">
        <v>7.7</v>
      </c>
      <c r="H92" t="e">
        <f>#N/A</f>
        <v>#N/A</v>
      </c>
      <c r="I92" t="e">
        <f>#N/A</f>
        <v>#N/A</v>
      </c>
      <c r="K92" t="e">
        <f>#N/A</f>
        <v>#N/A</v>
      </c>
      <c r="M92">
        <v>6.31</v>
      </c>
      <c r="N92">
        <v>0</v>
      </c>
      <c r="O92">
        <v>3.2</v>
      </c>
      <c r="P92" t="e">
        <f>#N/A</f>
        <v>#N/A</v>
      </c>
      <c r="Q92" t="e">
        <f>#DIV/0!</f>
        <v>#DIV/0!</v>
      </c>
      <c r="R92">
        <v>0</v>
      </c>
      <c r="S92" t="e">
        <f>#N/A</f>
        <v>#N/A</v>
      </c>
      <c r="T92" t="e">
        <f>#N/A</f>
        <v>#N/A</v>
      </c>
      <c r="U92">
        <v>270</v>
      </c>
      <c r="V92" t="e">
        <f>#N/A</f>
        <v>#N/A</v>
      </c>
      <c r="W92" t="e">
        <f>#N/A</f>
        <v>#N/A</v>
      </c>
    </row>
    <row r="93" spans="1:23" x14ac:dyDescent="0.35">
      <c r="A93" t="s">
        <v>193</v>
      </c>
      <c r="B93" t="s">
        <v>194</v>
      </c>
      <c r="C93" t="s">
        <v>195</v>
      </c>
      <c r="D93">
        <v>0</v>
      </c>
      <c r="E93" t="s">
        <v>154</v>
      </c>
      <c r="F93" t="s">
        <v>154</v>
      </c>
      <c r="G93">
        <v>7.7</v>
      </c>
      <c r="H93" t="e">
        <f>#N/A</f>
        <v>#N/A</v>
      </c>
      <c r="I93" t="e">
        <f>#N/A</f>
        <v>#N/A</v>
      </c>
      <c r="K93" t="e">
        <f>#N/A</f>
        <v>#N/A</v>
      </c>
      <c r="M93">
        <v>6.31</v>
      </c>
      <c r="N93">
        <v>0</v>
      </c>
      <c r="O93">
        <v>3.2</v>
      </c>
      <c r="P93" t="e">
        <f>#N/A</f>
        <v>#N/A</v>
      </c>
      <c r="Q93">
        <v>76.17</v>
      </c>
      <c r="R93">
        <v>1514</v>
      </c>
      <c r="S93" t="e">
        <f>#N/A</f>
        <v>#N/A</v>
      </c>
      <c r="T93" t="e">
        <f>#N/A</f>
        <v>#N/A</v>
      </c>
      <c r="U93">
        <v>270</v>
      </c>
      <c r="V93" t="e">
        <f>#N/A</f>
        <v>#N/A</v>
      </c>
      <c r="W93" t="e">
        <f>#N/A</f>
        <v>#N/A</v>
      </c>
    </row>
    <row r="94" spans="1:23" x14ac:dyDescent="0.35">
      <c r="A94" t="s">
        <v>196</v>
      </c>
      <c r="B94" t="s">
        <v>197</v>
      </c>
      <c r="C94" t="s">
        <v>29</v>
      </c>
      <c r="D94">
        <v>0</v>
      </c>
      <c r="E94">
        <v>998</v>
      </c>
      <c r="F94">
        <v>846</v>
      </c>
      <c r="G94">
        <v>7.7</v>
      </c>
      <c r="H94" t="e">
        <f>#N/A</f>
        <v>#N/A</v>
      </c>
      <c r="I94" t="e">
        <f>#N/A</f>
        <v>#N/A</v>
      </c>
      <c r="K94" t="e">
        <f>#N/A</f>
        <v>#N/A</v>
      </c>
      <c r="M94">
        <v>6.31</v>
      </c>
      <c r="N94">
        <v>0</v>
      </c>
      <c r="O94">
        <v>3.2</v>
      </c>
      <c r="P94" t="e">
        <f>#N/A</f>
        <v>#N/A</v>
      </c>
      <c r="Q94" t="e">
        <f>#DIV/0!</f>
        <v>#DIV/0!</v>
      </c>
      <c r="R94">
        <v>0</v>
      </c>
      <c r="S94" t="e">
        <f>#N/A</f>
        <v>#N/A</v>
      </c>
      <c r="T94" t="e">
        <f>#N/A</f>
        <v>#N/A</v>
      </c>
      <c r="U94">
        <v>270</v>
      </c>
      <c r="V94" t="e">
        <f>#N/A</f>
        <v>#N/A</v>
      </c>
      <c r="W94" t="e">
        <f>#N/A</f>
        <v>#N/A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93"/>
  <sheetViews>
    <sheetView zoomScaleNormal="100" workbookViewId="0"/>
  </sheetViews>
  <sheetFormatPr defaultColWidth="8.6328125" defaultRowHeight="14.5" x14ac:dyDescent="0.35"/>
  <cols>
    <col min="1" max="1" width="14" customWidth="1"/>
    <col min="2" max="2" width="14.7265625" customWidth="1"/>
  </cols>
  <sheetData>
    <row r="1" spans="1:23" x14ac:dyDescent="0.35">
      <c r="A1" s="3" t="s">
        <v>0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</row>
    <row r="2" spans="1:23" x14ac:dyDescent="0.35">
      <c r="A2" t="s">
        <v>22</v>
      </c>
      <c r="B2" t="s">
        <v>23</v>
      </c>
      <c r="C2" t="s">
        <v>24</v>
      </c>
      <c r="D2">
        <v>192044</v>
      </c>
      <c r="E2">
        <v>899</v>
      </c>
      <c r="F2">
        <v>762</v>
      </c>
      <c r="G2">
        <v>4.8</v>
      </c>
      <c r="H2">
        <v>11.1</v>
      </c>
      <c r="I2">
        <v>746</v>
      </c>
      <c r="J2">
        <v>126.3</v>
      </c>
      <c r="K2">
        <v>619.70000000000005</v>
      </c>
      <c r="L2">
        <v>12.5</v>
      </c>
      <c r="M2">
        <v>7.52</v>
      </c>
      <c r="N2">
        <v>150.51</v>
      </c>
      <c r="O2">
        <v>4.55</v>
      </c>
      <c r="P2">
        <v>444.6</v>
      </c>
      <c r="Q2">
        <v>1098.78</v>
      </c>
      <c r="R2">
        <v>221</v>
      </c>
      <c r="S2">
        <v>-654.20000000000005</v>
      </c>
      <c r="T2" s="2">
        <v>-0.87690000000000001</v>
      </c>
      <c r="U2">
        <v>229</v>
      </c>
      <c r="V2">
        <v>-883.2</v>
      </c>
      <c r="W2" s="2">
        <v>-1.1839</v>
      </c>
    </row>
    <row r="3" spans="1:23" x14ac:dyDescent="0.35">
      <c r="A3" t="s">
        <v>25</v>
      </c>
      <c r="B3" t="s">
        <v>26</v>
      </c>
      <c r="C3" t="s">
        <v>25</v>
      </c>
      <c r="D3">
        <v>190336</v>
      </c>
      <c r="E3">
        <v>899</v>
      </c>
      <c r="F3">
        <v>762</v>
      </c>
      <c r="G3">
        <v>4.8</v>
      </c>
      <c r="H3">
        <v>11.3</v>
      </c>
      <c r="I3">
        <v>745.8</v>
      </c>
      <c r="J3">
        <v>124.49</v>
      </c>
      <c r="K3">
        <v>621.4</v>
      </c>
      <c r="L3">
        <v>12.5</v>
      </c>
      <c r="M3">
        <v>7.52</v>
      </c>
      <c r="N3">
        <v>167.52</v>
      </c>
      <c r="O3">
        <v>4.55</v>
      </c>
      <c r="P3">
        <v>429.3</v>
      </c>
      <c r="Q3">
        <v>1038.51</v>
      </c>
      <c r="R3">
        <v>214</v>
      </c>
      <c r="S3">
        <v>-609.29999999999995</v>
      </c>
      <c r="T3" s="2">
        <v>-0.81689999999999996</v>
      </c>
      <c r="U3">
        <v>229</v>
      </c>
      <c r="V3">
        <v>-838.3</v>
      </c>
      <c r="W3" s="2">
        <v>-1.1238999999999999</v>
      </c>
    </row>
    <row r="4" spans="1:23" x14ac:dyDescent="0.35">
      <c r="A4" t="s">
        <v>27</v>
      </c>
      <c r="B4" t="s">
        <v>28</v>
      </c>
      <c r="C4" t="s">
        <v>29</v>
      </c>
      <c r="D4">
        <v>157681</v>
      </c>
      <c r="E4">
        <v>1348</v>
      </c>
      <c r="F4">
        <v>1142</v>
      </c>
      <c r="G4">
        <v>4.8</v>
      </c>
      <c r="H4">
        <v>17.399999999999999</v>
      </c>
      <c r="I4">
        <v>1120.3</v>
      </c>
      <c r="J4">
        <v>238.12</v>
      </c>
      <c r="K4">
        <v>882.1</v>
      </c>
      <c r="L4">
        <v>14.5</v>
      </c>
      <c r="M4">
        <v>7.52</v>
      </c>
      <c r="N4">
        <v>189.11</v>
      </c>
      <c r="O4">
        <v>4.55</v>
      </c>
      <c r="P4">
        <v>666.5</v>
      </c>
      <c r="Q4">
        <v>651.96</v>
      </c>
      <c r="R4">
        <v>122</v>
      </c>
      <c r="S4">
        <v>14.5</v>
      </c>
      <c r="T4" s="2">
        <v>1.29E-2</v>
      </c>
      <c r="U4">
        <v>229</v>
      </c>
      <c r="V4">
        <v>-214.5</v>
      </c>
      <c r="W4" s="2">
        <v>-0.1915</v>
      </c>
    </row>
    <row r="5" spans="1:23" x14ac:dyDescent="0.35">
      <c r="A5" t="s">
        <v>30</v>
      </c>
      <c r="B5" t="s">
        <v>31</v>
      </c>
      <c r="C5" t="s">
        <v>30</v>
      </c>
      <c r="D5">
        <v>113540</v>
      </c>
      <c r="E5">
        <v>649</v>
      </c>
      <c r="F5">
        <v>550</v>
      </c>
      <c r="G5">
        <v>4.8</v>
      </c>
      <c r="H5">
        <v>8.1999999999999993</v>
      </c>
      <c r="I5">
        <v>537.1</v>
      </c>
      <c r="J5">
        <v>70.099999999999994</v>
      </c>
      <c r="K5">
        <v>467</v>
      </c>
      <c r="L5">
        <v>12.5</v>
      </c>
      <c r="M5">
        <v>7.52</v>
      </c>
      <c r="N5">
        <v>171.35</v>
      </c>
      <c r="O5">
        <v>4.55</v>
      </c>
      <c r="P5">
        <v>271.10000000000002</v>
      </c>
      <c r="Q5">
        <v>1115.28</v>
      </c>
      <c r="R5">
        <v>160</v>
      </c>
      <c r="S5">
        <v>-844.2</v>
      </c>
      <c r="T5" s="2">
        <v>-1.5719000000000001</v>
      </c>
      <c r="U5">
        <v>229</v>
      </c>
      <c r="V5">
        <v>-1073.2</v>
      </c>
      <c r="W5" s="2">
        <v>-1.9983</v>
      </c>
    </row>
    <row r="6" spans="1:23" x14ac:dyDescent="0.35">
      <c r="A6" t="s">
        <v>32</v>
      </c>
      <c r="B6" t="s">
        <v>33</v>
      </c>
      <c r="C6" t="s">
        <v>32</v>
      </c>
      <c r="D6">
        <v>101319</v>
      </c>
      <c r="E6">
        <v>599</v>
      </c>
      <c r="F6">
        <v>508</v>
      </c>
      <c r="G6">
        <v>4.8</v>
      </c>
      <c r="H6">
        <v>6.5</v>
      </c>
      <c r="I6">
        <v>496.4</v>
      </c>
      <c r="J6">
        <v>89.33</v>
      </c>
      <c r="K6">
        <v>407</v>
      </c>
      <c r="L6">
        <v>6.5</v>
      </c>
      <c r="M6">
        <v>7.52</v>
      </c>
      <c r="N6">
        <v>176.04</v>
      </c>
      <c r="O6">
        <v>4.55</v>
      </c>
      <c r="P6">
        <v>212.4</v>
      </c>
      <c r="Q6">
        <v>460.18</v>
      </c>
      <c r="R6">
        <v>171</v>
      </c>
      <c r="S6">
        <v>-247.8</v>
      </c>
      <c r="T6" s="2">
        <v>-0.49919999999999998</v>
      </c>
      <c r="U6">
        <v>229</v>
      </c>
      <c r="V6">
        <v>-476.8</v>
      </c>
      <c r="W6" s="2">
        <v>-0.96050000000000002</v>
      </c>
    </row>
    <row r="7" spans="1:23" x14ac:dyDescent="0.35">
      <c r="A7" t="s">
        <v>34</v>
      </c>
      <c r="B7" t="s">
        <v>35</v>
      </c>
      <c r="C7" t="s">
        <v>29</v>
      </c>
      <c r="D7">
        <v>79281</v>
      </c>
      <c r="E7">
        <v>1098</v>
      </c>
      <c r="F7">
        <v>931</v>
      </c>
      <c r="G7">
        <v>4.8</v>
      </c>
      <c r="H7">
        <v>12.2</v>
      </c>
      <c r="I7">
        <v>913.5</v>
      </c>
      <c r="J7">
        <v>117.5</v>
      </c>
      <c r="K7">
        <v>796</v>
      </c>
      <c r="L7">
        <v>11.5</v>
      </c>
      <c r="M7">
        <v>7.52</v>
      </c>
      <c r="N7">
        <v>153.54</v>
      </c>
      <c r="O7">
        <v>4.55</v>
      </c>
      <c r="P7">
        <v>618.9</v>
      </c>
      <c r="Q7">
        <v>477.94</v>
      </c>
      <c r="R7">
        <v>75</v>
      </c>
      <c r="S7">
        <v>141</v>
      </c>
      <c r="T7" s="2">
        <v>0.15429999999999999</v>
      </c>
      <c r="U7">
        <v>229</v>
      </c>
      <c r="V7">
        <v>-88</v>
      </c>
      <c r="W7" s="2">
        <v>-9.64E-2</v>
      </c>
    </row>
    <row r="8" spans="1:23" x14ac:dyDescent="0.35">
      <c r="A8" t="s">
        <v>36</v>
      </c>
      <c r="B8" t="s">
        <v>37</v>
      </c>
      <c r="C8" t="s">
        <v>38</v>
      </c>
      <c r="D8">
        <v>70821</v>
      </c>
      <c r="E8">
        <v>549</v>
      </c>
      <c r="F8">
        <v>465</v>
      </c>
      <c r="G8">
        <v>4.8</v>
      </c>
      <c r="H8">
        <v>6.1</v>
      </c>
      <c r="I8">
        <v>454.4</v>
      </c>
      <c r="J8">
        <v>65.5</v>
      </c>
      <c r="K8">
        <v>388.9</v>
      </c>
      <c r="L8">
        <v>5</v>
      </c>
      <c r="M8">
        <v>7.52</v>
      </c>
      <c r="N8">
        <v>96.51</v>
      </c>
      <c r="O8">
        <v>4.55</v>
      </c>
      <c r="P8">
        <v>275.39999999999998</v>
      </c>
      <c r="Q8">
        <v>914.47</v>
      </c>
      <c r="R8">
        <v>129</v>
      </c>
      <c r="S8">
        <v>-639.1</v>
      </c>
      <c r="T8" s="2">
        <v>-1.4064000000000001</v>
      </c>
      <c r="U8">
        <v>229</v>
      </c>
      <c r="V8">
        <v>-868.1</v>
      </c>
      <c r="W8" s="2">
        <v>-1.9103000000000001</v>
      </c>
    </row>
    <row r="9" spans="1:23" x14ac:dyDescent="0.35">
      <c r="A9" t="s">
        <v>39</v>
      </c>
      <c r="B9" t="s">
        <v>40</v>
      </c>
      <c r="C9" t="s">
        <v>29</v>
      </c>
      <c r="D9">
        <v>81477</v>
      </c>
      <c r="E9">
        <v>1797</v>
      </c>
      <c r="F9">
        <v>1523</v>
      </c>
      <c r="G9">
        <v>4.8</v>
      </c>
      <c r="H9">
        <v>30.1</v>
      </c>
      <c r="I9">
        <v>1488</v>
      </c>
      <c r="J9">
        <v>254.99</v>
      </c>
      <c r="K9">
        <v>1233</v>
      </c>
      <c r="L9">
        <v>19.5</v>
      </c>
      <c r="M9">
        <v>7.52</v>
      </c>
      <c r="N9">
        <v>171</v>
      </c>
      <c r="O9">
        <v>4.55</v>
      </c>
      <c r="P9">
        <v>1030.5</v>
      </c>
      <c r="Q9">
        <v>804.6</v>
      </c>
      <c r="R9">
        <v>47</v>
      </c>
      <c r="S9">
        <v>225.9</v>
      </c>
      <c r="T9" s="2">
        <v>0.15179999999999999</v>
      </c>
      <c r="U9">
        <v>229</v>
      </c>
      <c r="V9">
        <v>-3.1</v>
      </c>
      <c r="W9" s="2">
        <v>-2.0999999999999999E-3</v>
      </c>
    </row>
    <row r="10" spans="1:23" x14ac:dyDescent="0.35">
      <c r="A10" t="s">
        <v>41</v>
      </c>
      <c r="B10" t="s">
        <v>42</v>
      </c>
      <c r="C10" t="s">
        <v>29</v>
      </c>
      <c r="D10">
        <v>90842</v>
      </c>
      <c r="E10">
        <v>1048</v>
      </c>
      <c r="F10">
        <v>888</v>
      </c>
      <c r="G10">
        <v>4.8</v>
      </c>
      <c r="H10">
        <v>11.8</v>
      </c>
      <c r="I10">
        <v>871.6</v>
      </c>
      <c r="J10">
        <v>165.73</v>
      </c>
      <c r="K10">
        <v>705.9</v>
      </c>
      <c r="L10">
        <v>11.5</v>
      </c>
      <c r="M10">
        <v>7.52</v>
      </c>
      <c r="N10">
        <v>142.47999999999999</v>
      </c>
      <c r="O10">
        <v>4.55</v>
      </c>
      <c r="P10">
        <v>539.79999999999995</v>
      </c>
      <c r="Q10">
        <v>503.23</v>
      </c>
      <c r="R10">
        <v>90</v>
      </c>
      <c r="S10">
        <v>36.6</v>
      </c>
      <c r="T10" s="2">
        <v>4.2000000000000003E-2</v>
      </c>
      <c r="U10">
        <v>229</v>
      </c>
      <c r="V10">
        <v>-192.4</v>
      </c>
      <c r="W10" s="2">
        <v>-0.2208</v>
      </c>
    </row>
    <row r="11" spans="1:23" x14ac:dyDescent="0.35">
      <c r="A11" t="s">
        <v>43</v>
      </c>
      <c r="B11" t="s">
        <v>44</v>
      </c>
      <c r="C11" t="s">
        <v>43</v>
      </c>
      <c r="D11">
        <v>63589</v>
      </c>
      <c r="E11">
        <v>649</v>
      </c>
      <c r="F11">
        <v>550</v>
      </c>
      <c r="G11">
        <v>4.8</v>
      </c>
      <c r="H11">
        <v>9.5</v>
      </c>
      <c r="I11">
        <v>535.79999999999995</v>
      </c>
      <c r="J11">
        <v>62.96</v>
      </c>
      <c r="K11">
        <v>472.8</v>
      </c>
      <c r="L11">
        <v>6.5</v>
      </c>
      <c r="M11">
        <v>7.52</v>
      </c>
      <c r="N11">
        <v>139.41999999999999</v>
      </c>
      <c r="O11">
        <v>4.55</v>
      </c>
      <c r="P11">
        <v>314.8</v>
      </c>
      <c r="Q11">
        <v>478.36</v>
      </c>
      <c r="R11">
        <v>101</v>
      </c>
      <c r="S11">
        <v>-163.5</v>
      </c>
      <c r="T11" s="2">
        <v>-0.30530000000000002</v>
      </c>
      <c r="U11">
        <v>229</v>
      </c>
      <c r="V11">
        <v>-392.5</v>
      </c>
      <c r="W11" s="2">
        <v>-0.73270000000000002</v>
      </c>
    </row>
    <row r="12" spans="1:23" x14ac:dyDescent="0.35">
      <c r="A12" t="s">
        <v>45</v>
      </c>
      <c r="B12" t="s">
        <v>46</v>
      </c>
      <c r="C12" t="s">
        <v>45</v>
      </c>
      <c r="D12">
        <v>50328</v>
      </c>
      <c r="E12">
        <v>699</v>
      </c>
      <c r="F12">
        <v>592</v>
      </c>
      <c r="G12">
        <v>4.8</v>
      </c>
      <c r="H12">
        <v>9.6</v>
      </c>
      <c r="I12">
        <v>578</v>
      </c>
      <c r="J12">
        <v>131</v>
      </c>
      <c r="K12">
        <v>447</v>
      </c>
      <c r="L12">
        <v>8.5</v>
      </c>
      <c r="M12">
        <v>7.52</v>
      </c>
      <c r="N12">
        <v>145.18</v>
      </c>
      <c r="O12">
        <v>4.55</v>
      </c>
      <c r="P12">
        <v>281.2</v>
      </c>
      <c r="Q12">
        <v>338.82</v>
      </c>
      <c r="R12">
        <v>72</v>
      </c>
      <c r="S12">
        <v>-57.6</v>
      </c>
      <c r="T12" s="2">
        <v>-9.9599999999999994E-2</v>
      </c>
      <c r="U12">
        <v>229</v>
      </c>
      <c r="V12">
        <v>-286.60000000000002</v>
      </c>
      <c r="W12" s="2">
        <v>-0.49580000000000002</v>
      </c>
    </row>
    <row r="13" spans="1:23" x14ac:dyDescent="0.35">
      <c r="A13" t="s">
        <v>47</v>
      </c>
      <c r="B13" t="s">
        <v>48</v>
      </c>
      <c r="C13" t="s">
        <v>29</v>
      </c>
      <c r="D13">
        <v>45782</v>
      </c>
      <c r="E13">
        <v>1398</v>
      </c>
      <c r="F13">
        <v>1185</v>
      </c>
      <c r="G13">
        <v>4.8</v>
      </c>
      <c r="H13">
        <v>22.7</v>
      </c>
      <c r="I13">
        <v>1157.3</v>
      </c>
      <c r="J13">
        <v>182</v>
      </c>
      <c r="K13">
        <v>975.3</v>
      </c>
      <c r="L13">
        <v>17.5</v>
      </c>
      <c r="M13">
        <v>7.52</v>
      </c>
      <c r="N13">
        <v>145.06</v>
      </c>
      <c r="O13">
        <v>4.55</v>
      </c>
      <c r="P13">
        <v>800.7</v>
      </c>
      <c r="Q13">
        <v>966.34</v>
      </c>
      <c r="R13">
        <v>34</v>
      </c>
      <c r="S13">
        <v>-165.6</v>
      </c>
      <c r="T13" s="2">
        <v>-0.1431</v>
      </c>
      <c r="U13">
        <v>229</v>
      </c>
      <c r="V13">
        <v>-394.6</v>
      </c>
      <c r="W13" s="2">
        <v>-0.34100000000000003</v>
      </c>
    </row>
    <row r="14" spans="1:23" x14ac:dyDescent="0.35">
      <c r="A14" t="s">
        <v>49</v>
      </c>
      <c r="B14" t="s">
        <v>50</v>
      </c>
      <c r="C14" t="s">
        <v>29</v>
      </c>
      <c r="D14">
        <v>26411</v>
      </c>
      <c r="E14">
        <v>948</v>
      </c>
      <c r="F14">
        <v>803</v>
      </c>
      <c r="G14">
        <v>4.8</v>
      </c>
      <c r="H14">
        <v>12.6</v>
      </c>
      <c r="I14">
        <v>786.1</v>
      </c>
      <c r="J14">
        <v>145.16</v>
      </c>
      <c r="K14">
        <v>640.9</v>
      </c>
      <c r="L14">
        <v>13.5</v>
      </c>
      <c r="M14">
        <v>7.52</v>
      </c>
      <c r="N14">
        <v>138.94999999999999</v>
      </c>
      <c r="O14">
        <v>4.55</v>
      </c>
      <c r="P14">
        <v>476.4</v>
      </c>
      <c r="Q14">
        <v>946.66</v>
      </c>
      <c r="R14">
        <v>29</v>
      </c>
      <c r="S14">
        <v>-470.3</v>
      </c>
      <c r="T14" s="2">
        <v>-0.59830000000000005</v>
      </c>
      <c r="U14">
        <v>229</v>
      </c>
      <c r="V14">
        <v>-699.3</v>
      </c>
      <c r="W14" s="2">
        <v>-0.88959999999999995</v>
      </c>
    </row>
    <row r="15" spans="1:23" x14ac:dyDescent="0.35">
      <c r="A15" t="s">
        <v>51</v>
      </c>
      <c r="B15" t="s">
        <v>52</v>
      </c>
      <c r="C15" t="s">
        <v>29</v>
      </c>
      <c r="D15">
        <v>80419</v>
      </c>
      <c r="E15">
        <v>2047</v>
      </c>
      <c r="F15">
        <v>1735</v>
      </c>
      <c r="G15">
        <v>4.8</v>
      </c>
      <c r="H15">
        <v>32.700000000000003</v>
      </c>
      <c r="I15">
        <v>1697.3</v>
      </c>
      <c r="J15">
        <v>325.10000000000002</v>
      </c>
      <c r="K15">
        <v>1372.2</v>
      </c>
      <c r="L15">
        <v>23</v>
      </c>
      <c r="M15">
        <v>7.52</v>
      </c>
      <c r="N15">
        <v>241.27</v>
      </c>
      <c r="O15">
        <v>4.55</v>
      </c>
      <c r="P15">
        <v>1095.9000000000001</v>
      </c>
      <c r="Q15">
        <v>774.83</v>
      </c>
      <c r="R15">
        <v>41</v>
      </c>
      <c r="S15">
        <v>321.10000000000002</v>
      </c>
      <c r="T15" s="2">
        <v>0.18920000000000001</v>
      </c>
      <c r="U15">
        <v>229</v>
      </c>
      <c r="V15">
        <v>92.1</v>
      </c>
      <c r="W15" s="2">
        <v>5.4199999999999998E-2</v>
      </c>
    </row>
    <row r="16" spans="1:23" x14ac:dyDescent="0.35">
      <c r="A16" t="s">
        <v>53</v>
      </c>
      <c r="B16" t="s">
        <v>54</v>
      </c>
      <c r="C16" t="s">
        <v>29</v>
      </c>
      <c r="D16">
        <v>38622</v>
      </c>
      <c r="E16">
        <v>1598</v>
      </c>
      <c r="F16">
        <v>1354</v>
      </c>
      <c r="G16">
        <v>4.8</v>
      </c>
      <c r="H16">
        <v>31.6</v>
      </c>
      <c r="I16">
        <v>1317.9</v>
      </c>
      <c r="J16">
        <v>263.33</v>
      </c>
      <c r="K16">
        <v>1054.5999999999999</v>
      </c>
      <c r="L16">
        <v>21</v>
      </c>
      <c r="M16">
        <v>7.52</v>
      </c>
      <c r="N16">
        <v>250.49</v>
      </c>
      <c r="O16">
        <v>4.55</v>
      </c>
      <c r="P16">
        <v>771</v>
      </c>
      <c r="Q16">
        <v>990.76</v>
      </c>
      <c r="R16">
        <v>25</v>
      </c>
      <c r="S16">
        <v>-219.8</v>
      </c>
      <c r="T16" s="2">
        <v>-0.1668</v>
      </c>
      <c r="U16">
        <v>229</v>
      </c>
      <c r="V16">
        <v>-448.8</v>
      </c>
      <c r="W16" s="2">
        <v>-0.34050000000000002</v>
      </c>
    </row>
    <row r="17" spans="1:23" x14ac:dyDescent="0.35">
      <c r="A17" t="s">
        <v>55</v>
      </c>
      <c r="B17" t="s">
        <v>56</v>
      </c>
      <c r="C17" t="s">
        <v>29</v>
      </c>
      <c r="D17">
        <v>15345</v>
      </c>
      <c r="E17">
        <v>1248</v>
      </c>
      <c r="F17">
        <v>1058</v>
      </c>
      <c r="G17">
        <v>4.8</v>
      </c>
      <c r="H17">
        <v>17.8</v>
      </c>
      <c r="I17">
        <v>1035.0999999999999</v>
      </c>
      <c r="J17">
        <v>196.5</v>
      </c>
      <c r="K17">
        <v>838.6</v>
      </c>
      <c r="L17">
        <v>13.5</v>
      </c>
      <c r="M17">
        <v>7.52</v>
      </c>
      <c r="N17">
        <v>345.48</v>
      </c>
      <c r="O17">
        <v>4.55</v>
      </c>
      <c r="P17">
        <v>467.6</v>
      </c>
      <c r="Q17">
        <v>1554.43</v>
      </c>
      <c r="R17">
        <v>12</v>
      </c>
      <c r="S17">
        <v>-1086.9000000000001</v>
      </c>
      <c r="T17" s="2">
        <v>-1.05</v>
      </c>
      <c r="U17">
        <v>229</v>
      </c>
      <c r="V17">
        <v>-1315.9</v>
      </c>
      <c r="W17" s="2">
        <v>-1.2712000000000001</v>
      </c>
    </row>
    <row r="18" spans="1:23" x14ac:dyDescent="0.35">
      <c r="A18" t="s">
        <v>57</v>
      </c>
      <c r="B18" t="s">
        <v>58</v>
      </c>
      <c r="C18" t="s">
        <v>57</v>
      </c>
      <c r="D18">
        <v>24159.9</v>
      </c>
      <c r="E18">
        <v>399</v>
      </c>
      <c r="F18">
        <v>338</v>
      </c>
      <c r="G18">
        <v>4.8</v>
      </c>
      <c r="H18">
        <v>4.3</v>
      </c>
      <c r="I18">
        <v>329.1</v>
      </c>
      <c r="J18">
        <v>54</v>
      </c>
      <c r="K18">
        <v>275.10000000000002</v>
      </c>
      <c r="L18">
        <v>8.5</v>
      </c>
      <c r="M18">
        <v>7.52</v>
      </c>
      <c r="N18">
        <v>96.74</v>
      </c>
      <c r="O18">
        <v>4.55</v>
      </c>
      <c r="P18">
        <v>157.69999999999999</v>
      </c>
      <c r="Q18">
        <v>334.19</v>
      </c>
      <c r="R18">
        <v>67</v>
      </c>
      <c r="S18">
        <v>-176.4</v>
      </c>
      <c r="T18" s="2">
        <v>-0.53620000000000001</v>
      </c>
      <c r="U18">
        <v>229</v>
      </c>
      <c r="V18">
        <v>-405.4</v>
      </c>
      <c r="W18" s="2">
        <v>-1.2322</v>
      </c>
    </row>
    <row r="19" spans="1:23" x14ac:dyDescent="0.35">
      <c r="A19" t="s">
        <v>59</v>
      </c>
      <c r="B19" t="s">
        <v>60</v>
      </c>
      <c r="C19" t="s">
        <v>59</v>
      </c>
      <c r="D19">
        <v>38751.5</v>
      </c>
      <c r="E19">
        <v>799</v>
      </c>
      <c r="F19">
        <v>677</v>
      </c>
      <c r="G19">
        <v>4.8</v>
      </c>
      <c r="H19">
        <v>12.8</v>
      </c>
      <c r="I19">
        <v>659.5</v>
      </c>
      <c r="J19">
        <v>215.5</v>
      </c>
      <c r="K19">
        <v>444</v>
      </c>
      <c r="L19">
        <v>5</v>
      </c>
      <c r="M19">
        <v>7.52</v>
      </c>
      <c r="N19">
        <v>109.92</v>
      </c>
      <c r="O19">
        <v>4.55</v>
      </c>
      <c r="P19">
        <v>317.10000000000002</v>
      </c>
      <c r="Q19">
        <v>322.77999999999997</v>
      </c>
      <c r="R19">
        <v>50</v>
      </c>
      <c r="S19">
        <v>-5.7</v>
      </c>
      <c r="T19" s="2">
        <v>-8.6999999999999994E-3</v>
      </c>
      <c r="U19">
        <v>229</v>
      </c>
      <c r="V19">
        <v>-234.7</v>
      </c>
      <c r="W19" s="2">
        <v>-0.35589999999999999</v>
      </c>
    </row>
    <row r="20" spans="1:23" x14ac:dyDescent="0.35">
      <c r="A20" t="s">
        <v>61</v>
      </c>
      <c r="B20" t="s">
        <v>62</v>
      </c>
      <c r="C20" t="s">
        <v>61</v>
      </c>
      <c r="D20">
        <v>58562</v>
      </c>
      <c r="E20">
        <v>699</v>
      </c>
      <c r="F20">
        <v>592</v>
      </c>
      <c r="G20">
        <v>4.8</v>
      </c>
      <c r="H20">
        <v>7.2</v>
      </c>
      <c r="I20">
        <v>580.5</v>
      </c>
      <c r="J20">
        <v>105</v>
      </c>
      <c r="K20">
        <v>475.5</v>
      </c>
      <c r="L20">
        <v>8.5</v>
      </c>
      <c r="M20">
        <v>7.52</v>
      </c>
      <c r="N20" t="s">
        <v>154</v>
      </c>
      <c r="O20">
        <v>4.55</v>
      </c>
      <c r="P20">
        <v>454.9</v>
      </c>
      <c r="Q20">
        <v>857.39</v>
      </c>
      <c r="R20">
        <v>98</v>
      </c>
      <c r="S20">
        <v>-402.5</v>
      </c>
      <c r="T20" s="2">
        <v>-0.69340000000000002</v>
      </c>
      <c r="U20">
        <v>229</v>
      </c>
      <c r="V20">
        <v>-631.5</v>
      </c>
      <c r="W20" s="2">
        <v>-1.0879000000000001</v>
      </c>
    </row>
    <row r="21" spans="1:23" x14ac:dyDescent="0.35">
      <c r="A21" t="s">
        <v>63</v>
      </c>
      <c r="B21" t="s">
        <v>64</v>
      </c>
      <c r="C21" t="s">
        <v>63</v>
      </c>
      <c r="D21">
        <v>53295</v>
      </c>
      <c r="E21">
        <v>899</v>
      </c>
      <c r="F21">
        <v>762</v>
      </c>
      <c r="G21">
        <v>4.8</v>
      </c>
      <c r="H21">
        <v>11.6</v>
      </c>
      <c r="I21">
        <v>745.5</v>
      </c>
      <c r="J21">
        <v>117.7</v>
      </c>
      <c r="K21">
        <v>627.79999999999995</v>
      </c>
      <c r="L21">
        <v>9.5</v>
      </c>
      <c r="M21">
        <v>7.52</v>
      </c>
      <c r="N21">
        <v>198.64</v>
      </c>
      <c r="O21">
        <v>4.55</v>
      </c>
      <c r="P21">
        <v>407.6</v>
      </c>
      <c r="Q21">
        <v>460.95</v>
      </c>
      <c r="R21">
        <v>60</v>
      </c>
      <c r="S21">
        <v>-53.4</v>
      </c>
      <c r="T21" s="2">
        <v>-7.1599999999999997E-2</v>
      </c>
      <c r="U21">
        <v>229</v>
      </c>
      <c r="V21">
        <v>-282.39999999999998</v>
      </c>
      <c r="W21" s="2">
        <v>-0.37880000000000003</v>
      </c>
    </row>
    <row r="22" spans="1:23" x14ac:dyDescent="0.35">
      <c r="A22" t="s">
        <v>65</v>
      </c>
      <c r="B22" t="s">
        <v>66</v>
      </c>
      <c r="C22" t="s">
        <v>29</v>
      </c>
      <c r="D22">
        <v>19004</v>
      </c>
      <c r="E22">
        <v>1798</v>
      </c>
      <c r="F22">
        <v>1524</v>
      </c>
      <c r="G22">
        <v>4.8</v>
      </c>
      <c r="H22">
        <v>36.5</v>
      </c>
      <c r="I22">
        <v>1482.5</v>
      </c>
      <c r="J22">
        <v>256.82</v>
      </c>
      <c r="K22">
        <v>1225.7</v>
      </c>
      <c r="L22">
        <v>25</v>
      </c>
      <c r="M22">
        <v>7.52</v>
      </c>
      <c r="N22">
        <v>157.91</v>
      </c>
      <c r="O22">
        <v>4.55</v>
      </c>
      <c r="P22">
        <v>1030.7</v>
      </c>
      <c r="Q22">
        <v>1065.6300000000001</v>
      </c>
      <c r="R22">
        <v>11</v>
      </c>
      <c r="S22">
        <v>-34.9</v>
      </c>
      <c r="T22" s="2">
        <v>-2.3599999999999999E-2</v>
      </c>
      <c r="U22">
        <v>229</v>
      </c>
      <c r="V22">
        <v>-263.89999999999998</v>
      </c>
      <c r="W22" s="2">
        <v>-0.17799999999999999</v>
      </c>
    </row>
    <row r="23" spans="1:23" x14ac:dyDescent="0.35">
      <c r="A23" t="s">
        <v>67</v>
      </c>
      <c r="B23" t="s">
        <v>68</v>
      </c>
      <c r="C23" t="s">
        <v>67</v>
      </c>
      <c r="D23">
        <v>20025.400000000001</v>
      </c>
      <c r="E23">
        <v>449</v>
      </c>
      <c r="F23">
        <v>381</v>
      </c>
      <c r="G23">
        <v>4.8</v>
      </c>
      <c r="H23">
        <v>7.3</v>
      </c>
      <c r="I23">
        <v>368.4</v>
      </c>
      <c r="J23">
        <v>64.7</v>
      </c>
      <c r="K23">
        <v>303.7</v>
      </c>
      <c r="L23">
        <v>5.5</v>
      </c>
      <c r="M23">
        <v>7.52</v>
      </c>
      <c r="N23">
        <v>100.73</v>
      </c>
      <c r="O23">
        <v>4.55</v>
      </c>
      <c r="P23">
        <v>185.4</v>
      </c>
      <c r="Q23">
        <v>816.86</v>
      </c>
      <c r="R23">
        <v>48</v>
      </c>
      <c r="S23">
        <v>-631.4</v>
      </c>
      <c r="T23" s="2">
        <v>-1.7138</v>
      </c>
      <c r="U23">
        <v>229</v>
      </c>
      <c r="V23">
        <v>-860.4</v>
      </c>
      <c r="W23" s="2">
        <v>-2.3353999999999999</v>
      </c>
    </row>
    <row r="24" spans="1:23" x14ac:dyDescent="0.35">
      <c r="A24" t="s">
        <v>69</v>
      </c>
      <c r="B24" t="s">
        <v>70</v>
      </c>
      <c r="C24" t="s">
        <v>29</v>
      </c>
      <c r="D24">
        <v>12785</v>
      </c>
      <c r="E24">
        <v>1897</v>
      </c>
      <c r="F24">
        <v>1608</v>
      </c>
      <c r="G24">
        <v>4.8</v>
      </c>
      <c r="H24">
        <v>32.299999999999997</v>
      </c>
      <c r="I24">
        <v>1570.6</v>
      </c>
      <c r="J24">
        <v>259.45999999999998</v>
      </c>
      <c r="K24">
        <v>1311.1</v>
      </c>
      <c r="L24">
        <v>20</v>
      </c>
      <c r="M24">
        <v>7.52</v>
      </c>
      <c r="N24">
        <v>162.85</v>
      </c>
      <c r="O24">
        <v>4.55</v>
      </c>
      <c r="P24">
        <v>1116.2</v>
      </c>
      <c r="Q24">
        <v>844.56</v>
      </c>
      <c r="R24">
        <v>7</v>
      </c>
      <c r="S24">
        <v>271.60000000000002</v>
      </c>
      <c r="T24" s="2">
        <v>0.1729</v>
      </c>
      <c r="U24">
        <v>229</v>
      </c>
      <c r="V24">
        <v>42.6</v>
      </c>
      <c r="W24" s="2">
        <v>2.7099999999999999E-2</v>
      </c>
    </row>
    <row r="25" spans="1:23" x14ac:dyDescent="0.35">
      <c r="A25" t="s">
        <v>71</v>
      </c>
      <c r="B25" t="s">
        <v>72</v>
      </c>
      <c r="C25" t="s">
        <v>71</v>
      </c>
      <c r="D25">
        <v>35911</v>
      </c>
      <c r="E25">
        <v>599</v>
      </c>
      <c r="F25">
        <v>508</v>
      </c>
      <c r="G25">
        <v>4.8</v>
      </c>
      <c r="H25">
        <v>10.199999999999999</v>
      </c>
      <c r="I25">
        <v>492.7</v>
      </c>
      <c r="J25">
        <v>151.28</v>
      </c>
      <c r="K25">
        <v>341.4</v>
      </c>
      <c r="L25">
        <v>12.5</v>
      </c>
      <c r="M25">
        <v>7.52</v>
      </c>
      <c r="N25">
        <v>121.95</v>
      </c>
      <c r="O25">
        <v>4.55</v>
      </c>
      <c r="P25">
        <v>194.9</v>
      </c>
      <c r="Q25">
        <v>537.5</v>
      </c>
      <c r="R25">
        <v>61</v>
      </c>
      <c r="S25">
        <v>-342.6</v>
      </c>
      <c r="T25" s="2">
        <v>-0.69550000000000001</v>
      </c>
      <c r="U25">
        <v>229</v>
      </c>
      <c r="V25">
        <v>-571.6</v>
      </c>
      <c r="W25" s="2">
        <v>-1.1603000000000001</v>
      </c>
    </row>
    <row r="26" spans="1:23" x14ac:dyDescent="0.35">
      <c r="A26" t="s">
        <v>73</v>
      </c>
      <c r="B26" t="s">
        <v>74</v>
      </c>
      <c r="C26" t="s">
        <v>29</v>
      </c>
      <c r="D26">
        <v>31366</v>
      </c>
      <c r="E26">
        <v>1547</v>
      </c>
      <c r="F26">
        <v>1311</v>
      </c>
      <c r="G26">
        <v>4.8</v>
      </c>
      <c r="H26">
        <v>29</v>
      </c>
      <c r="I26">
        <v>1277.3</v>
      </c>
      <c r="J26">
        <v>210.73</v>
      </c>
      <c r="K26">
        <v>1066.5999999999999</v>
      </c>
      <c r="L26">
        <v>20</v>
      </c>
      <c r="M26">
        <v>7.52</v>
      </c>
      <c r="N26">
        <v>133.71</v>
      </c>
      <c r="O26">
        <v>4.55</v>
      </c>
      <c r="P26">
        <v>900.8</v>
      </c>
      <c r="Q26">
        <v>677.92</v>
      </c>
      <c r="R26">
        <v>21</v>
      </c>
      <c r="S26">
        <v>222.9</v>
      </c>
      <c r="T26" s="2">
        <v>0.17449999999999999</v>
      </c>
      <c r="U26">
        <v>229</v>
      </c>
      <c r="V26">
        <v>-6.1</v>
      </c>
      <c r="W26" s="2">
        <v>-4.7999999999999996E-3</v>
      </c>
    </row>
    <row r="27" spans="1:23" x14ac:dyDescent="0.35">
      <c r="A27" t="s">
        <v>75</v>
      </c>
      <c r="B27" t="s">
        <v>76</v>
      </c>
      <c r="C27" t="s">
        <v>75</v>
      </c>
      <c r="D27">
        <v>23018</v>
      </c>
      <c r="E27">
        <v>449</v>
      </c>
      <c r="F27">
        <v>381</v>
      </c>
      <c r="G27">
        <v>4.8</v>
      </c>
      <c r="H27">
        <v>5</v>
      </c>
      <c r="I27">
        <v>370.8</v>
      </c>
      <c r="J27">
        <v>60.89</v>
      </c>
      <c r="K27">
        <v>309.89999999999998</v>
      </c>
      <c r="L27">
        <v>5</v>
      </c>
      <c r="M27">
        <v>7.52</v>
      </c>
      <c r="N27">
        <v>101.04</v>
      </c>
      <c r="O27">
        <v>4.55</v>
      </c>
      <c r="P27">
        <v>191.8</v>
      </c>
      <c r="Q27">
        <v>446.92</v>
      </c>
      <c r="R27">
        <v>52</v>
      </c>
      <c r="S27">
        <v>-255.1</v>
      </c>
      <c r="T27" s="2">
        <v>-0.68810000000000004</v>
      </c>
      <c r="U27">
        <v>229</v>
      </c>
      <c r="V27">
        <v>-484.1</v>
      </c>
      <c r="W27" s="2">
        <v>-1.3057000000000001</v>
      </c>
    </row>
    <row r="28" spans="1:23" x14ac:dyDescent="0.35">
      <c r="A28" t="s">
        <v>77</v>
      </c>
      <c r="B28" t="s">
        <v>78</v>
      </c>
      <c r="C28" t="s">
        <v>77</v>
      </c>
      <c r="D28">
        <v>19372</v>
      </c>
      <c r="E28">
        <v>699</v>
      </c>
      <c r="F28">
        <v>592</v>
      </c>
      <c r="G28">
        <v>4.8</v>
      </c>
      <c r="H28">
        <v>8.6</v>
      </c>
      <c r="I28">
        <v>579</v>
      </c>
      <c r="J28">
        <v>84.27</v>
      </c>
      <c r="K28">
        <v>494.8</v>
      </c>
      <c r="L28">
        <v>12.5</v>
      </c>
      <c r="M28">
        <v>7.52</v>
      </c>
      <c r="N28">
        <v>122.51</v>
      </c>
      <c r="O28">
        <v>4.55</v>
      </c>
      <c r="P28">
        <v>347.7</v>
      </c>
      <c r="Q28">
        <v>1292.33</v>
      </c>
      <c r="R28">
        <v>28</v>
      </c>
      <c r="S28">
        <v>-944.7</v>
      </c>
      <c r="T28" s="2">
        <v>-1.6315</v>
      </c>
      <c r="U28">
        <v>229</v>
      </c>
      <c r="V28">
        <v>-1173.7</v>
      </c>
      <c r="W28" s="2">
        <v>-2.0270000000000001</v>
      </c>
    </row>
    <row r="29" spans="1:23" x14ac:dyDescent="0.35">
      <c r="A29" t="s">
        <v>79</v>
      </c>
      <c r="B29" t="s">
        <v>80</v>
      </c>
      <c r="C29" t="s">
        <v>79</v>
      </c>
      <c r="D29">
        <v>36963</v>
      </c>
      <c r="E29">
        <v>999</v>
      </c>
      <c r="F29">
        <v>847</v>
      </c>
      <c r="G29">
        <v>4.8</v>
      </c>
      <c r="H29">
        <v>15.1</v>
      </c>
      <c r="I29">
        <v>826.8</v>
      </c>
      <c r="J29">
        <v>276.02</v>
      </c>
      <c r="K29">
        <v>550.70000000000005</v>
      </c>
      <c r="L29">
        <v>12.5</v>
      </c>
      <c r="M29">
        <v>7.52</v>
      </c>
      <c r="N29">
        <v>138.27000000000001</v>
      </c>
      <c r="O29">
        <v>4.55</v>
      </c>
      <c r="P29">
        <v>387.9</v>
      </c>
      <c r="Q29">
        <v>366.4</v>
      </c>
      <c r="R29">
        <v>37</v>
      </c>
      <c r="S29">
        <v>21.5</v>
      </c>
      <c r="T29" s="2">
        <v>2.5999999999999999E-2</v>
      </c>
      <c r="U29">
        <v>229</v>
      </c>
      <c r="V29">
        <v>-207.5</v>
      </c>
      <c r="W29" s="2">
        <v>-0.251</v>
      </c>
    </row>
    <row r="30" spans="1:23" x14ac:dyDescent="0.35">
      <c r="A30" t="s">
        <v>81</v>
      </c>
      <c r="B30" t="s">
        <v>82</v>
      </c>
      <c r="C30" t="s">
        <v>29</v>
      </c>
      <c r="D30">
        <v>30792</v>
      </c>
      <c r="E30">
        <v>1598</v>
      </c>
      <c r="F30">
        <v>1354</v>
      </c>
      <c r="G30">
        <v>4.8</v>
      </c>
      <c r="H30">
        <v>25.3</v>
      </c>
      <c r="I30">
        <v>1324.2</v>
      </c>
      <c r="J30">
        <v>208.76</v>
      </c>
      <c r="K30">
        <v>1115.4000000000001</v>
      </c>
      <c r="L30">
        <v>25</v>
      </c>
      <c r="M30">
        <v>7.52</v>
      </c>
      <c r="N30">
        <v>157.41999999999999</v>
      </c>
      <c r="O30">
        <v>4.55</v>
      </c>
      <c r="P30">
        <v>920.9</v>
      </c>
      <c r="Q30">
        <v>823.93</v>
      </c>
      <c r="R30">
        <v>20</v>
      </c>
      <c r="S30">
        <v>97</v>
      </c>
      <c r="T30" s="2">
        <v>7.3200000000000001E-2</v>
      </c>
      <c r="U30">
        <v>229</v>
      </c>
      <c r="V30">
        <v>-132</v>
      </c>
      <c r="W30" s="2">
        <v>-9.9699999999999997E-2</v>
      </c>
    </row>
    <row r="31" spans="1:23" x14ac:dyDescent="0.35">
      <c r="A31" t="s">
        <v>83</v>
      </c>
      <c r="B31" t="s">
        <v>84</v>
      </c>
      <c r="C31" t="s">
        <v>29</v>
      </c>
      <c r="D31">
        <v>13325</v>
      </c>
      <c r="E31">
        <v>1148</v>
      </c>
      <c r="F31">
        <v>973</v>
      </c>
      <c r="G31">
        <v>4.8</v>
      </c>
      <c r="H31">
        <v>16</v>
      </c>
      <c r="I31">
        <v>952.1</v>
      </c>
      <c r="J31">
        <v>137.96</v>
      </c>
      <c r="K31">
        <v>814.2</v>
      </c>
      <c r="L31">
        <v>11.5</v>
      </c>
      <c r="M31">
        <v>7.52</v>
      </c>
      <c r="N31">
        <v>112.79</v>
      </c>
      <c r="O31">
        <v>4.55</v>
      </c>
      <c r="P31">
        <v>677.8</v>
      </c>
      <c r="Q31">
        <v>863.57</v>
      </c>
      <c r="R31">
        <v>12</v>
      </c>
      <c r="S31">
        <v>-185.8</v>
      </c>
      <c r="T31" s="2">
        <v>-0.1951</v>
      </c>
      <c r="U31">
        <v>229</v>
      </c>
      <c r="V31">
        <v>-414.8</v>
      </c>
      <c r="W31" s="2">
        <v>-0.43559999999999999</v>
      </c>
    </row>
    <row r="32" spans="1:23" x14ac:dyDescent="0.35">
      <c r="A32" t="s">
        <v>85</v>
      </c>
      <c r="B32" t="s">
        <v>86</v>
      </c>
      <c r="C32" t="s">
        <v>85</v>
      </c>
      <c r="D32">
        <v>18643</v>
      </c>
      <c r="E32">
        <v>599</v>
      </c>
      <c r="F32">
        <v>508</v>
      </c>
      <c r="G32">
        <v>4.8</v>
      </c>
      <c r="H32">
        <v>6.2</v>
      </c>
      <c r="I32">
        <v>496.7</v>
      </c>
      <c r="J32">
        <v>56.8</v>
      </c>
      <c r="K32">
        <v>439.9</v>
      </c>
      <c r="L32">
        <v>8.5</v>
      </c>
      <c r="M32">
        <v>7.52</v>
      </c>
      <c r="N32">
        <v>135.32</v>
      </c>
      <c r="O32">
        <v>4.55</v>
      </c>
      <c r="P32">
        <v>284</v>
      </c>
      <c r="Q32">
        <v>1014.3</v>
      </c>
      <c r="R32">
        <v>34</v>
      </c>
      <c r="S32">
        <v>-730.3</v>
      </c>
      <c r="T32" s="2">
        <v>-1.4702</v>
      </c>
      <c r="U32">
        <v>229</v>
      </c>
      <c r="V32">
        <v>-959.3</v>
      </c>
      <c r="W32" s="2">
        <v>-1.9313</v>
      </c>
    </row>
    <row r="33" spans="1:23" x14ac:dyDescent="0.35">
      <c r="A33" t="s">
        <v>87</v>
      </c>
      <c r="B33" t="s">
        <v>88</v>
      </c>
      <c r="C33" t="s">
        <v>29</v>
      </c>
      <c r="D33">
        <v>7476</v>
      </c>
      <c r="E33">
        <v>1298</v>
      </c>
      <c r="F33">
        <v>1100</v>
      </c>
      <c r="G33">
        <v>4.8</v>
      </c>
      <c r="H33">
        <v>24.3</v>
      </c>
      <c r="I33">
        <v>1071</v>
      </c>
      <c r="J33">
        <v>178.49</v>
      </c>
      <c r="K33">
        <v>892.5</v>
      </c>
      <c r="L33">
        <v>21</v>
      </c>
      <c r="M33">
        <v>7.52</v>
      </c>
      <c r="N33">
        <v>104.65</v>
      </c>
      <c r="O33">
        <v>4.55</v>
      </c>
      <c r="P33">
        <v>754.8</v>
      </c>
      <c r="Q33">
        <v>1319.43</v>
      </c>
      <c r="R33">
        <v>6</v>
      </c>
      <c r="S33">
        <v>-564.70000000000005</v>
      </c>
      <c r="T33" s="2">
        <v>-0.5272</v>
      </c>
      <c r="U33">
        <v>229</v>
      </c>
      <c r="V33">
        <v>-793.7</v>
      </c>
      <c r="W33" s="2">
        <v>-0.74109999999999998</v>
      </c>
    </row>
    <row r="34" spans="1:23" x14ac:dyDescent="0.35">
      <c r="A34" t="s">
        <v>89</v>
      </c>
      <c r="B34" t="s">
        <v>90</v>
      </c>
      <c r="C34" t="s">
        <v>29</v>
      </c>
      <c r="D34">
        <v>17315</v>
      </c>
      <c r="E34">
        <v>1648</v>
      </c>
      <c r="F34">
        <v>1397</v>
      </c>
      <c r="G34">
        <v>4.8</v>
      </c>
      <c r="H34" t="e">
        <f>#N/A</f>
        <v>#N/A</v>
      </c>
      <c r="I34" t="e">
        <f>#N/A</f>
        <v>#N/A</v>
      </c>
      <c r="J34">
        <v>255.49</v>
      </c>
      <c r="K34" t="e">
        <f>#N/A</f>
        <v>#N/A</v>
      </c>
      <c r="L34">
        <v>17.5</v>
      </c>
      <c r="M34">
        <v>7.52</v>
      </c>
      <c r="N34">
        <v>151.69999999999999</v>
      </c>
      <c r="O34">
        <v>4.55</v>
      </c>
      <c r="P34" t="e">
        <f>#N/A</f>
        <v>#N/A</v>
      </c>
      <c r="Q34">
        <v>1498.06</v>
      </c>
      <c r="R34">
        <v>11</v>
      </c>
      <c r="S34" t="e">
        <f>#N/A</f>
        <v>#N/A</v>
      </c>
      <c r="T34" t="e">
        <f>#N/A</f>
        <v>#N/A</v>
      </c>
      <c r="U34">
        <v>229</v>
      </c>
      <c r="V34" t="e">
        <f>#N/A</f>
        <v>#N/A</v>
      </c>
      <c r="W34" t="e">
        <f>#N/A</f>
        <v>#N/A</v>
      </c>
    </row>
    <row r="35" spans="1:23" x14ac:dyDescent="0.35">
      <c r="A35" t="s">
        <v>91</v>
      </c>
      <c r="B35" t="s">
        <v>92</v>
      </c>
      <c r="C35" t="s">
        <v>29</v>
      </c>
      <c r="D35">
        <v>7279</v>
      </c>
      <c r="E35">
        <v>1148</v>
      </c>
      <c r="F35">
        <v>973</v>
      </c>
      <c r="G35">
        <v>4.8</v>
      </c>
      <c r="H35">
        <v>17.100000000000001</v>
      </c>
      <c r="I35">
        <v>951</v>
      </c>
      <c r="J35">
        <v>191.89</v>
      </c>
      <c r="K35">
        <v>759.1</v>
      </c>
      <c r="L35">
        <v>10</v>
      </c>
      <c r="M35">
        <v>7.52</v>
      </c>
      <c r="N35">
        <v>193.2</v>
      </c>
      <c r="O35">
        <v>4.55</v>
      </c>
      <c r="P35">
        <v>543.79999999999995</v>
      </c>
      <c r="Q35">
        <v>732.93</v>
      </c>
      <c r="R35">
        <v>7</v>
      </c>
      <c r="S35">
        <v>-189.1</v>
      </c>
      <c r="T35" s="2">
        <v>-0.1988</v>
      </c>
      <c r="U35">
        <v>229</v>
      </c>
      <c r="V35">
        <v>-418.1</v>
      </c>
      <c r="W35" s="2">
        <v>-0.43959999999999999</v>
      </c>
    </row>
    <row r="36" spans="1:23" x14ac:dyDescent="0.35">
      <c r="A36" t="s">
        <v>93</v>
      </c>
      <c r="B36" t="s">
        <v>94</v>
      </c>
      <c r="C36" t="s">
        <v>93</v>
      </c>
      <c r="D36">
        <v>14469</v>
      </c>
      <c r="E36">
        <v>499</v>
      </c>
      <c r="F36">
        <v>423</v>
      </c>
      <c r="G36">
        <v>4.8</v>
      </c>
      <c r="H36">
        <v>5.7</v>
      </c>
      <c r="I36">
        <v>412.4</v>
      </c>
      <c r="J36">
        <v>75</v>
      </c>
      <c r="K36">
        <v>337.4</v>
      </c>
      <c r="L36">
        <v>5</v>
      </c>
      <c r="M36">
        <v>7.52</v>
      </c>
      <c r="N36">
        <v>102.56</v>
      </c>
      <c r="O36">
        <v>4.55</v>
      </c>
      <c r="P36">
        <v>217.8</v>
      </c>
      <c r="Q36">
        <v>714.61</v>
      </c>
      <c r="R36">
        <v>31</v>
      </c>
      <c r="S36">
        <v>-496.8</v>
      </c>
      <c r="T36" s="2">
        <v>-1.2048000000000001</v>
      </c>
      <c r="U36">
        <v>229</v>
      </c>
      <c r="V36">
        <v>-725.8</v>
      </c>
      <c r="W36" s="2">
        <v>-1.7601</v>
      </c>
    </row>
    <row r="37" spans="1:23" x14ac:dyDescent="0.35">
      <c r="A37" t="s">
        <v>95</v>
      </c>
      <c r="B37" t="s">
        <v>96</v>
      </c>
      <c r="C37" t="s">
        <v>95</v>
      </c>
      <c r="D37">
        <v>12172</v>
      </c>
      <c r="E37">
        <v>599</v>
      </c>
      <c r="F37">
        <v>508</v>
      </c>
      <c r="G37">
        <v>4.8</v>
      </c>
      <c r="H37">
        <v>11.2</v>
      </c>
      <c r="I37">
        <v>491.7</v>
      </c>
      <c r="J37">
        <v>76.7</v>
      </c>
      <c r="K37">
        <v>415</v>
      </c>
      <c r="L37">
        <v>8.5</v>
      </c>
      <c r="M37">
        <v>7.52</v>
      </c>
      <c r="N37">
        <v>84.43</v>
      </c>
      <c r="O37">
        <v>4.55</v>
      </c>
      <c r="P37">
        <v>310</v>
      </c>
      <c r="Q37">
        <v>1718.91</v>
      </c>
      <c r="R37">
        <v>22</v>
      </c>
      <c r="S37">
        <v>-1408.9</v>
      </c>
      <c r="T37" s="2">
        <v>-2.8654999999999999</v>
      </c>
      <c r="U37">
        <v>229</v>
      </c>
      <c r="V37">
        <v>-1637.9</v>
      </c>
      <c r="W37" s="2">
        <v>-3.3311999999999999</v>
      </c>
    </row>
    <row r="38" spans="1:23" x14ac:dyDescent="0.35">
      <c r="A38" t="s">
        <v>97</v>
      </c>
      <c r="B38" t="s">
        <v>98</v>
      </c>
      <c r="C38" t="s">
        <v>29</v>
      </c>
      <c r="D38">
        <v>8038</v>
      </c>
      <c r="E38">
        <v>1198</v>
      </c>
      <c r="F38">
        <v>1015</v>
      </c>
      <c r="G38">
        <v>4.8</v>
      </c>
      <c r="H38">
        <v>15.5</v>
      </c>
      <c r="I38">
        <v>995</v>
      </c>
      <c r="J38">
        <v>128.46</v>
      </c>
      <c r="K38">
        <v>866.5</v>
      </c>
      <c r="L38">
        <v>11.5</v>
      </c>
      <c r="M38">
        <v>7.52</v>
      </c>
      <c r="N38">
        <v>89.1</v>
      </c>
      <c r="O38">
        <v>4.55</v>
      </c>
      <c r="P38">
        <v>753.9</v>
      </c>
      <c r="Q38">
        <v>825.15</v>
      </c>
      <c r="R38">
        <v>7</v>
      </c>
      <c r="S38">
        <v>-71.3</v>
      </c>
      <c r="T38" s="2">
        <v>-7.1599999999999997E-2</v>
      </c>
      <c r="U38">
        <v>229</v>
      </c>
      <c r="V38">
        <v>-300.3</v>
      </c>
      <c r="W38" s="2">
        <v>-0.30180000000000001</v>
      </c>
    </row>
    <row r="39" spans="1:23" x14ac:dyDescent="0.35">
      <c r="A39" t="s">
        <v>99</v>
      </c>
      <c r="B39" t="s">
        <v>100</v>
      </c>
      <c r="C39" t="s">
        <v>29</v>
      </c>
      <c r="D39">
        <v>13926</v>
      </c>
      <c r="E39">
        <v>1448</v>
      </c>
      <c r="F39">
        <v>1227</v>
      </c>
      <c r="G39">
        <v>4.8</v>
      </c>
      <c r="H39">
        <v>25.9</v>
      </c>
      <c r="I39">
        <v>1196.5</v>
      </c>
      <c r="J39">
        <v>189.99</v>
      </c>
      <c r="K39">
        <v>1006.5</v>
      </c>
      <c r="L39">
        <v>17.5</v>
      </c>
      <c r="M39">
        <v>7.52</v>
      </c>
      <c r="N39">
        <v>151.05000000000001</v>
      </c>
      <c r="O39">
        <v>4.55</v>
      </c>
      <c r="P39">
        <v>825.9</v>
      </c>
      <c r="Q39">
        <v>1002.31</v>
      </c>
      <c r="R39">
        <v>10</v>
      </c>
      <c r="S39">
        <v>-176.5</v>
      </c>
      <c r="T39" s="2">
        <v>-0.14749999999999999</v>
      </c>
      <c r="U39">
        <v>229</v>
      </c>
      <c r="V39">
        <v>-405.5</v>
      </c>
      <c r="W39" s="2">
        <v>-0.33889999999999998</v>
      </c>
    </row>
    <row r="40" spans="1:23" x14ac:dyDescent="0.35">
      <c r="A40" t="s">
        <v>101</v>
      </c>
      <c r="B40" t="s">
        <v>102</v>
      </c>
      <c r="C40" t="s">
        <v>101</v>
      </c>
      <c r="D40">
        <v>6080</v>
      </c>
      <c r="E40">
        <v>190</v>
      </c>
      <c r="F40">
        <v>161</v>
      </c>
      <c r="G40">
        <v>4.8</v>
      </c>
      <c r="H40">
        <v>2.1</v>
      </c>
      <c r="I40">
        <v>154.19999999999999</v>
      </c>
      <c r="J40">
        <v>38.6</v>
      </c>
      <c r="K40">
        <v>115.6</v>
      </c>
      <c r="L40">
        <v>8.5</v>
      </c>
      <c r="M40">
        <v>7.52</v>
      </c>
      <c r="N40">
        <v>109.51</v>
      </c>
      <c r="O40">
        <v>4.55</v>
      </c>
      <c r="P40">
        <v>-14.5</v>
      </c>
      <c r="Q40">
        <v>193.18</v>
      </c>
      <c r="R40">
        <v>35</v>
      </c>
      <c r="S40">
        <v>-207.7</v>
      </c>
      <c r="T40" s="2">
        <v>-1.3473999999999999</v>
      </c>
      <c r="U40">
        <v>229</v>
      </c>
      <c r="V40">
        <v>-436.7</v>
      </c>
      <c r="W40" s="2">
        <v>-2.8330000000000002</v>
      </c>
    </row>
    <row r="41" spans="1:23" x14ac:dyDescent="0.35">
      <c r="A41" t="s">
        <v>103</v>
      </c>
      <c r="B41" t="s">
        <v>104</v>
      </c>
      <c r="C41" t="s">
        <v>29</v>
      </c>
      <c r="D41">
        <v>1992</v>
      </c>
      <c r="E41">
        <v>2097</v>
      </c>
      <c r="F41">
        <v>1777</v>
      </c>
      <c r="G41">
        <v>4.8</v>
      </c>
      <c r="H41">
        <v>40.5</v>
      </c>
      <c r="I41">
        <v>1731.9</v>
      </c>
      <c r="J41">
        <v>338.44</v>
      </c>
      <c r="K41">
        <v>1393.4</v>
      </c>
      <c r="L41">
        <v>26</v>
      </c>
      <c r="M41">
        <v>7.52</v>
      </c>
      <c r="N41" t="s">
        <v>154</v>
      </c>
      <c r="O41">
        <v>4.55</v>
      </c>
      <c r="P41">
        <v>1355.3</v>
      </c>
      <c r="Q41">
        <v>10838.57</v>
      </c>
      <c r="R41">
        <v>1</v>
      </c>
      <c r="S41">
        <v>-9483.2000000000007</v>
      </c>
      <c r="T41" s="2">
        <v>-5.4757999999999996</v>
      </c>
      <c r="U41">
        <v>229</v>
      </c>
      <c r="V41">
        <v>-9712.2000000000007</v>
      </c>
      <c r="W41" s="2">
        <v>-5.6079999999999997</v>
      </c>
    </row>
    <row r="42" spans="1:23" x14ac:dyDescent="0.35">
      <c r="A42" t="s">
        <v>57</v>
      </c>
      <c r="B42" t="s">
        <v>105</v>
      </c>
      <c r="C42" t="s">
        <v>57</v>
      </c>
      <c r="D42">
        <v>32903</v>
      </c>
      <c r="E42">
        <v>399</v>
      </c>
      <c r="F42">
        <v>338</v>
      </c>
      <c r="G42">
        <v>4.8</v>
      </c>
      <c r="H42">
        <v>13.5</v>
      </c>
      <c r="I42">
        <v>319.89999999999998</v>
      </c>
      <c r="J42">
        <v>54</v>
      </c>
      <c r="K42">
        <v>265.89999999999998</v>
      </c>
      <c r="L42">
        <v>8.5</v>
      </c>
      <c r="M42">
        <v>7.52</v>
      </c>
      <c r="N42">
        <v>145.63999999999999</v>
      </c>
      <c r="O42">
        <v>4.55</v>
      </c>
      <c r="P42">
        <v>99.7</v>
      </c>
      <c r="Q42">
        <v>543.63</v>
      </c>
      <c r="R42">
        <v>37</v>
      </c>
      <c r="S42">
        <v>-443.9</v>
      </c>
      <c r="T42" s="2">
        <v>-1.3877999999999999</v>
      </c>
      <c r="U42">
        <v>229</v>
      </c>
      <c r="V42">
        <v>-672.9</v>
      </c>
      <c r="W42" s="2">
        <v>-2.1036999999999999</v>
      </c>
    </row>
    <row r="43" spans="1:23" x14ac:dyDescent="0.35">
      <c r="A43" t="s">
        <v>106</v>
      </c>
      <c r="B43" t="s">
        <v>107</v>
      </c>
      <c r="C43" t="s">
        <v>106</v>
      </c>
      <c r="D43">
        <v>10479</v>
      </c>
      <c r="E43">
        <v>499</v>
      </c>
      <c r="F43">
        <v>423</v>
      </c>
      <c r="G43">
        <v>4.8</v>
      </c>
      <c r="H43">
        <v>8.1</v>
      </c>
      <c r="I43">
        <v>410</v>
      </c>
      <c r="J43">
        <v>45</v>
      </c>
      <c r="K43">
        <v>365</v>
      </c>
      <c r="L43">
        <v>8.5</v>
      </c>
      <c r="M43">
        <v>7.52</v>
      </c>
      <c r="N43">
        <v>104.08</v>
      </c>
      <c r="O43">
        <v>4.55</v>
      </c>
      <c r="P43">
        <v>240.4</v>
      </c>
      <c r="Q43">
        <v>959.44</v>
      </c>
      <c r="R43">
        <v>21</v>
      </c>
      <c r="S43">
        <v>-719.1</v>
      </c>
      <c r="T43" s="2">
        <v>-1.7537</v>
      </c>
      <c r="U43">
        <v>229</v>
      </c>
      <c r="V43">
        <v>-948.1</v>
      </c>
      <c r="W43" s="2">
        <v>-2.3121999999999998</v>
      </c>
    </row>
    <row r="44" spans="1:23" x14ac:dyDescent="0.35">
      <c r="A44" t="s">
        <v>108</v>
      </c>
      <c r="B44" t="s">
        <v>109</v>
      </c>
      <c r="C44" t="s">
        <v>29</v>
      </c>
      <c r="D44">
        <v>7341</v>
      </c>
      <c r="E44">
        <v>848</v>
      </c>
      <c r="F44">
        <v>719</v>
      </c>
      <c r="G44">
        <v>4.8</v>
      </c>
      <c r="H44">
        <v>11.2</v>
      </c>
      <c r="I44">
        <v>702.6</v>
      </c>
      <c r="J44">
        <v>114.89</v>
      </c>
      <c r="K44">
        <v>587.79999999999995</v>
      </c>
      <c r="L44">
        <v>13.5</v>
      </c>
      <c r="M44">
        <v>7.52</v>
      </c>
      <c r="N44">
        <v>157.09</v>
      </c>
      <c r="O44">
        <v>4.55</v>
      </c>
      <c r="P44">
        <v>405.1</v>
      </c>
      <c r="Q44">
        <v>755.04</v>
      </c>
      <c r="R44">
        <v>9</v>
      </c>
      <c r="S44">
        <v>-349.9</v>
      </c>
      <c r="T44" s="2">
        <v>-0.498</v>
      </c>
      <c r="U44">
        <v>229</v>
      </c>
      <c r="V44">
        <v>-578.9</v>
      </c>
      <c r="W44" s="2">
        <v>-0.82389999999999997</v>
      </c>
    </row>
    <row r="45" spans="1:23" x14ac:dyDescent="0.35">
      <c r="A45" t="s">
        <v>110</v>
      </c>
      <c r="B45" t="s">
        <v>111</v>
      </c>
      <c r="C45" t="s">
        <v>29</v>
      </c>
      <c r="D45">
        <v>2605</v>
      </c>
      <c r="E45">
        <v>1348</v>
      </c>
      <c r="F45">
        <v>1142</v>
      </c>
      <c r="G45">
        <v>4.8</v>
      </c>
      <c r="H45">
        <v>9</v>
      </c>
      <c r="I45">
        <v>1128.5999999999999</v>
      </c>
      <c r="J45">
        <v>193.96</v>
      </c>
      <c r="K45">
        <v>934.6</v>
      </c>
      <c r="L45">
        <v>15</v>
      </c>
      <c r="M45">
        <v>7.52</v>
      </c>
      <c r="N45">
        <v>433.3</v>
      </c>
      <c r="O45">
        <v>4.55</v>
      </c>
      <c r="P45">
        <v>474.2</v>
      </c>
      <c r="Q45">
        <v>1494.97</v>
      </c>
      <c r="R45">
        <v>2</v>
      </c>
      <c r="S45">
        <v>-1020.7</v>
      </c>
      <c r="T45" s="2">
        <v>-0.90439999999999998</v>
      </c>
      <c r="U45">
        <v>229</v>
      </c>
      <c r="V45">
        <v>-1249.7</v>
      </c>
      <c r="W45" s="2">
        <v>-1.1073999999999999</v>
      </c>
    </row>
    <row r="46" spans="1:23" x14ac:dyDescent="0.35">
      <c r="A46" t="s">
        <v>112</v>
      </c>
      <c r="B46" t="s">
        <v>113</v>
      </c>
      <c r="C46" t="s">
        <v>112</v>
      </c>
      <c r="D46">
        <v>7984</v>
      </c>
      <c r="E46">
        <v>449</v>
      </c>
      <c r="F46">
        <v>381</v>
      </c>
      <c r="G46">
        <v>4.8</v>
      </c>
      <c r="H46">
        <v>7.5</v>
      </c>
      <c r="I46">
        <v>368.2</v>
      </c>
      <c r="J46">
        <v>76.400000000000006</v>
      </c>
      <c r="K46">
        <v>291.8</v>
      </c>
      <c r="L46">
        <v>5</v>
      </c>
      <c r="M46">
        <v>7.52</v>
      </c>
      <c r="N46">
        <v>96.69</v>
      </c>
      <c r="O46">
        <v>4.55</v>
      </c>
      <c r="P46">
        <v>178.1</v>
      </c>
      <c r="Q46">
        <v>641.30999999999995</v>
      </c>
      <c r="R46">
        <v>16</v>
      </c>
      <c r="S46">
        <v>-463.2</v>
      </c>
      <c r="T46" s="2">
        <v>-1.258</v>
      </c>
      <c r="U46">
        <v>229</v>
      </c>
      <c r="V46">
        <v>-692.2</v>
      </c>
      <c r="W46" s="2">
        <v>-1.8798999999999999</v>
      </c>
    </row>
    <row r="47" spans="1:23" x14ac:dyDescent="0.35">
      <c r="A47" t="s">
        <v>114</v>
      </c>
      <c r="B47" t="s">
        <v>115</v>
      </c>
      <c r="C47" t="s">
        <v>29</v>
      </c>
      <c r="D47">
        <v>3823</v>
      </c>
      <c r="E47">
        <v>998</v>
      </c>
      <c r="F47">
        <v>846</v>
      </c>
      <c r="G47">
        <v>4.8</v>
      </c>
      <c r="H47">
        <v>12.6</v>
      </c>
      <c r="I47">
        <v>828.4</v>
      </c>
      <c r="J47">
        <v>143.33000000000001</v>
      </c>
      <c r="K47">
        <v>685.1</v>
      </c>
      <c r="L47">
        <v>15</v>
      </c>
      <c r="M47">
        <v>7.52</v>
      </c>
      <c r="N47">
        <v>210.69</v>
      </c>
      <c r="O47">
        <v>4.55</v>
      </c>
      <c r="P47">
        <v>447.3</v>
      </c>
      <c r="Q47">
        <v>934.36</v>
      </c>
      <c r="R47">
        <v>4</v>
      </c>
      <c r="S47">
        <v>-487.1</v>
      </c>
      <c r="T47" s="2">
        <v>-0.58799999999999997</v>
      </c>
      <c r="U47">
        <v>229</v>
      </c>
      <c r="V47">
        <v>-716.1</v>
      </c>
      <c r="W47" s="2">
        <v>-0.86439999999999995</v>
      </c>
    </row>
    <row r="48" spans="1:23" x14ac:dyDescent="0.35">
      <c r="A48" t="s">
        <v>116</v>
      </c>
      <c r="B48" t="s">
        <v>117</v>
      </c>
      <c r="C48" t="s">
        <v>116</v>
      </c>
      <c r="D48">
        <v>5520</v>
      </c>
      <c r="E48">
        <v>599</v>
      </c>
      <c r="F48">
        <v>508</v>
      </c>
      <c r="G48">
        <v>4.8</v>
      </c>
      <c r="H48">
        <v>6.2</v>
      </c>
      <c r="I48">
        <v>496.7</v>
      </c>
      <c r="J48">
        <v>38.5</v>
      </c>
      <c r="K48">
        <v>458.2</v>
      </c>
      <c r="L48">
        <v>8.5</v>
      </c>
      <c r="M48">
        <v>7.52</v>
      </c>
      <c r="N48">
        <v>133.05000000000001</v>
      </c>
      <c r="O48">
        <v>4.55</v>
      </c>
      <c r="P48">
        <v>304.60000000000002</v>
      </c>
      <c r="Q48">
        <v>1902.69</v>
      </c>
      <c r="R48">
        <v>10</v>
      </c>
      <c r="S48">
        <v>-1598.1</v>
      </c>
      <c r="T48" s="2">
        <v>-3.2176999999999998</v>
      </c>
      <c r="U48">
        <v>229</v>
      </c>
      <c r="V48">
        <v>-1827.1</v>
      </c>
      <c r="W48" s="2">
        <v>-3.6787999999999998</v>
      </c>
    </row>
    <row r="49" spans="1:23" x14ac:dyDescent="0.35">
      <c r="A49" t="s">
        <v>118</v>
      </c>
      <c r="B49" t="s">
        <v>119</v>
      </c>
      <c r="C49" t="s">
        <v>118</v>
      </c>
      <c r="D49">
        <v>6433</v>
      </c>
      <c r="E49">
        <v>999</v>
      </c>
      <c r="F49">
        <v>847</v>
      </c>
      <c r="G49">
        <v>4.8</v>
      </c>
      <c r="H49">
        <v>13.5</v>
      </c>
      <c r="I49">
        <v>828.3</v>
      </c>
      <c r="J49">
        <v>217.35</v>
      </c>
      <c r="K49">
        <v>611</v>
      </c>
      <c r="L49">
        <v>12.5</v>
      </c>
      <c r="M49">
        <v>7.52</v>
      </c>
      <c r="N49">
        <v>128.32</v>
      </c>
      <c r="O49">
        <v>4.55</v>
      </c>
      <c r="P49">
        <v>458.1</v>
      </c>
      <c r="Q49">
        <v>1703.69</v>
      </c>
      <c r="R49">
        <v>7</v>
      </c>
      <c r="S49">
        <v>-1245.5999999999999</v>
      </c>
      <c r="T49" s="2">
        <v>-1.5037</v>
      </c>
      <c r="U49">
        <v>229</v>
      </c>
      <c r="V49">
        <v>-1474.6</v>
      </c>
      <c r="W49" s="2">
        <v>-1.7802</v>
      </c>
    </row>
    <row r="50" spans="1:23" x14ac:dyDescent="0.35">
      <c r="A50" t="s">
        <v>120</v>
      </c>
      <c r="B50" t="s">
        <v>121</v>
      </c>
      <c r="C50" t="s">
        <v>120</v>
      </c>
      <c r="D50">
        <v>10552</v>
      </c>
      <c r="E50">
        <v>399</v>
      </c>
      <c r="F50">
        <v>338</v>
      </c>
      <c r="G50">
        <v>4.8</v>
      </c>
      <c r="H50">
        <v>16.100000000000001</v>
      </c>
      <c r="I50">
        <v>317.3</v>
      </c>
      <c r="J50">
        <v>80.849999999999994</v>
      </c>
      <c r="K50">
        <v>236.4</v>
      </c>
      <c r="L50">
        <v>8.5</v>
      </c>
      <c r="M50">
        <v>7.52</v>
      </c>
      <c r="N50" t="s">
        <v>154</v>
      </c>
      <c r="O50">
        <v>4.55</v>
      </c>
      <c r="P50">
        <v>215.9</v>
      </c>
      <c r="Q50">
        <v>1790.15</v>
      </c>
      <c r="R50">
        <v>16</v>
      </c>
      <c r="S50">
        <v>-1574.3</v>
      </c>
      <c r="T50" s="2">
        <v>-4.9615999999999998</v>
      </c>
      <c r="U50">
        <v>229</v>
      </c>
      <c r="V50">
        <v>-1803.3</v>
      </c>
      <c r="W50" s="2">
        <v>-5.6833999999999998</v>
      </c>
    </row>
    <row r="51" spans="1:23" x14ac:dyDescent="0.35">
      <c r="A51" t="s">
        <v>122</v>
      </c>
      <c r="B51" t="s">
        <v>123</v>
      </c>
      <c r="C51" t="s">
        <v>122</v>
      </c>
      <c r="D51">
        <v>8620</v>
      </c>
      <c r="E51">
        <v>499</v>
      </c>
      <c r="F51">
        <v>423</v>
      </c>
      <c r="G51">
        <v>4.8</v>
      </c>
      <c r="H51">
        <v>5.8</v>
      </c>
      <c r="I51">
        <v>412.3</v>
      </c>
      <c r="J51">
        <v>96.95</v>
      </c>
      <c r="K51">
        <v>315.39999999999998</v>
      </c>
      <c r="L51">
        <v>12.5</v>
      </c>
      <c r="M51">
        <v>7.52</v>
      </c>
      <c r="N51">
        <v>119.85</v>
      </c>
      <c r="O51">
        <v>4.55</v>
      </c>
      <c r="P51">
        <v>171</v>
      </c>
      <c r="Q51">
        <v>590.82000000000005</v>
      </c>
      <c r="R51">
        <v>18</v>
      </c>
      <c r="S51">
        <v>-419.8</v>
      </c>
      <c r="T51" s="2">
        <v>-1.0182</v>
      </c>
      <c r="U51">
        <v>229</v>
      </c>
      <c r="V51">
        <v>-648.79999999999995</v>
      </c>
      <c r="W51" s="2">
        <v>-1.5734999999999999</v>
      </c>
    </row>
    <row r="52" spans="1:23" x14ac:dyDescent="0.35">
      <c r="A52" t="s">
        <v>124</v>
      </c>
      <c r="B52" t="s">
        <v>125</v>
      </c>
      <c r="C52" t="s">
        <v>29</v>
      </c>
      <c r="D52">
        <v>2104</v>
      </c>
      <c r="E52">
        <v>2147</v>
      </c>
      <c r="F52">
        <v>1819</v>
      </c>
      <c r="G52">
        <v>4.8</v>
      </c>
      <c r="H52">
        <v>33.4</v>
      </c>
      <c r="I52">
        <v>1781.3</v>
      </c>
      <c r="J52">
        <v>409.6</v>
      </c>
      <c r="K52">
        <v>1371.7</v>
      </c>
      <c r="L52">
        <v>19.5</v>
      </c>
      <c r="M52">
        <v>7.52</v>
      </c>
      <c r="N52">
        <v>270.01</v>
      </c>
      <c r="O52">
        <v>4.55</v>
      </c>
      <c r="P52">
        <v>1070.0999999999999</v>
      </c>
      <c r="Q52">
        <v>3397.67</v>
      </c>
      <c r="R52">
        <v>1</v>
      </c>
      <c r="S52">
        <v>-2327.5</v>
      </c>
      <c r="T52" s="2">
        <v>-1.3066</v>
      </c>
      <c r="U52">
        <v>229</v>
      </c>
      <c r="V52">
        <v>-2556.5</v>
      </c>
      <c r="W52" s="2">
        <v>-1.4352</v>
      </c>
    </row>
    <row r="53" spans="1:23" x14ac:dyDescent="0.35">
      <c r="A53" t="s">
        <v>126</v>
      </c>
      <c r="B53" t="s">
        <v>127</v>
      </c>
      <c r="C53" t="s">
        <v>126</v>
      </c>
      <c r="D53">
        <v>6462</v>
      </c>
      <c r="E53">
        <v>399</v>
      </c>
      <c r="F53">
        <v>338</v>
      </c>
      <c r="G53">
        <v>4.8</v>
      </c>
      <c r="H53">
        <v>14</v>
      </c>
      <c r="I53">
        <v>319.3</v>
      </c>
      <c r="J53">
        <v>80.849999999999994</v>
      </c>
      <c r="K53">
        <v>238.5</v>
      </c>
      <c r="L53">
        <v>8.5</v>
      </c>
      <c r="M53">
        <v>7.52</v>
      </c>
      <c r="N53" t="s">
        <v>154</v>
      </c>
      <c r="O53">
        <v>4.55</v>
      </c>
      <c r="P53">
        <v>217.9</v>
      </c>
      <c r="Q53">
        <v>1287.3399999999999</v>
      </c>
      <c r="R53">
        <v>9</v>
      </c>
      <c r="S53">
        <v>-1069.4000000000001</v>
      </c>
      <c r="T53" s="2">
        <v>-3.3488000000000002</v>
      </c>
      <c r="U53">
        <v>229</v>
      </c>
      <c r="V53">
        <v>-1298.4000000000001</v>
      </c>
      <c r="W53" s="2">
        <v>-4.0658000000000003</v>
      </c>
    </row>
    <row r="54" spans="1:23" x14ac:dyDescent="0.35">
      <c r="A54" t="s">
        <v>128</v>
      </c>
      <c r="B54" t="s">
        <v>129</v>
      </c>
      <c r="C54" t="s">
        <v>29</v>
      </c>
      <c r="D54">
        <v>1994</v>
      </c>
      <c r="E54">
        <v>948</v>
      </c>
      <c r="F54">
        <v>803</v>
      </c>
      <c r="G54">
        <v>4.8</v>
      </c>
      <c r="H54">
        <v>20.7</v>
      </c>
      <c r="I54">
        <v>777.9</v>
      </c>
      <c r="J54">
        <v>157.84</v>
      </c>
      <c r="K54">
        <v>620.1</v>
      </c>
      <c r="L54">
        <v>17.5</v>
      </c>
      <c r="M54">
        <v>7.52</v>
      </c>
      <c r="N54">
        <v>74.180000000000007</v>
      </c>
      <c r="O54">
        <v>4.55</v>
      </c>
      <c r="P54">
        <v>516.29999999999995</v>
      </c>
      <c r="Q54">
        <v>3023.93</v>
      </c>
      <c r="R54">
        <v>2</v>
      </c>
      <c r="S54">
        <v>-2507.6</v>
      </c>
      <c r="T54" s="2">
        <v>-3.2235</v>
      </c>
      <c r="U54">
        <v>229</v>
      </c>
      <c r="V54">
        <v>-2736.6</v>
      </c>
      <c r="W54" s="2">
        <v>-3.5177999999999998</v>
      </c>
    </row>
    <row r="55" spans="1:23" x14ac:dyDescent="0.35">
      <c r="A55" t="s">
        <v>130</v>
      </c>
      <c r="B55" t="s">
        <v>131</v>
      </c>
      <c r="C55" t="s">
        <v>130</v>
      </c>
      <c r="D55">
        <v>4280</v>
      </c>
      <c r="E55">
        <v>1099</v>
      </c>
      <c r="F55">
        <v>931</v>
      </c>
      <c r="G55">
        <v>4.8</v>
      </c>
      <c r="H55">
        <v>14.9</v>
      </c>
      <c r="I55">
        <v>911.7</v>
      </c>
      <c r="J55">
        <v>173.95</v>
      </c>
      <c r="K55">
        <v>737.8</v>
      </c>
      <c r="L55">
        <v>12.5</v>
      </c>
      <c r="M55">
        <v>7.52</v>
      </c>
      <c r="N55">
        <v>92.61</v>
      </c>
      <c r="O55">
        <v>4.55</v>
      </c>
      <c r="P55">
        <v>620.6</v>
      </c>
      <c r="Q55">
        <v>1112.74</v>
      </c>
      <c r="R55">
        <v>4</v>
      </c>
      <c r="S55">
        <v>-492.2</v>
      </c>
      <c r="T55" s="2">
        <v>-0.53979999999999995</v>
      </c>
      <c r="U55">
        <v>229</v>
      </c>
      <c r="V55">
        <v>-721.2</v>
      </c>
      <c r="W55" s="2">
        <v>-0.79100000000000004</v>
      </c>
    </row>
    <row r="56" spans="1:23" x14ac:dyDescent="0.35">
      <c r="A56" t="s">
        <v>132</v>
      </c>
      <c r="B56" t="s">
        <v>133</v>
      </c>
      <c r="C56" t="s">
        <v>29</v>
      </c>
      <c r="D56">
        <v>18726</v>
      </c>
      <c r="E56">
        <v>1398</v>
      </c>
      <c r="F56">
        <v>1185</v>
      </c>
      <c r="G56">
        <v>4.8</v>
      </c>
      <c r="H56">
        <v>26.9</v>
      </c>
      <c r="I56">
        <v>1153.0999999999999</v>
      </c>
      <c r="J56">
        <v>304.83</v>
      </c>
      <c r="K56">
        <v>848.3</v>
      </c>
      <c r="L56">
        <v>11.5</v>
      </c>
      <c r="M56">
        <v>7.52</v>
      </c>
      <c r="N56">
        <v>111.66</v>
      </c>
      <c r="O56">
        <v>4.55</v>
      </c>
      <c r="P56">
        <v>713.1</v>
      </c>
      <c r="Q56">
        <v>434.42</v>
      </c>
      <c r="R56">
        <v>14</v>
      </c>
      <c r="S56">
        <v>278.60000000000002</v>
      </c>
      <c r="T56" s="2">
        <v>0.24160000000000001</v>
      </c>
      <c r="U56">
        <v>229</v>
      </c>
      <c r="V56">
        <v>49.6</v>
      </c>
      <c r="W56" s="2">
        <v>4.3099999999999999E-2</v>
      </c>
    </row>
    <row r="57" spans="1:23" x14ac:dyDescent="0.35">
      <c r="A57" t="s">
        <v>134</v>
      </c>
      <c r="B57" t="s">
        <v>135</v>
      </c>
      <c r="C57" t="s">
        <v>29</v>
      </c>
      <c r="D57">
        <v>4202</v>
      </c>
      <c r="E57">
        <v>1089</v>
      </c>
      <c r="F57">
        <v>923</v>
      </c>
      <c r="G57">
        <v>4.8</v>
      </c>
      <c r="H57">
        <v>13.6</v>
      </c>
      <c r="I57">
        <v>904.5</v>
      </c>
      <c r="J57">
        <v>219.36</v>
      </c>
      <c r="K57">
        <v>685.2</v>
      </c>
      <c r="L57">
        <v>18</v>
      </c>
      <c r="M57">
        <v>7.52</v>
      </c>
      <c r="N57">
        <v>183.16</v>
      </c>
      <c r="O57">
        <v>4.55</v>
      </c>
      <c r="P57">
        <v>471.9</v>
      </c>
      <c r="Q57">
        <v>1036.29</v>
      </c>
      <c r="R57">
        <v>4</v>
      </c>
      <c r="S57">
        <v>-564.29999999999995</v>
      </c>
      <c r="T57" s="2">
        <v>-0.62390000000000001</v>
      </c>
      <c r="U57">
        <v>229</v>
      </c>
      <c r="V57">
        <v>-793.3</v>
      </c>
      <c r="W57" s="2">
        <v>-0.87709999999999999</v>
      </c>
    </row>
    <row r="58" spans="1:23" x14ac:dyDescent="0.35">
      <c r="A58" t="s">
        <v>136</v>
      </c>
      <c r="B58" t="s">
        <v>137</v>
      </c>
      <c r="C58" t="s">
        <v>29</v>
      </c>
      <c r="D58">
        <v>4778</v>
      </c>
      <c r="E58">
        <v>1238</v>
      </c>
      <c r="F58">
        <v>1049</v>
      </c>
      <c r="G58">
        <v>4.8</v>
      </c>
      <c r="H58">
        <v>20.8</v>
      </c>
      <c r="I58">
        <v>1023.6</v>
      </c>
      <c r="J58">
        <v>204.33</v>
      </c>
      <c r="K58">
        <v>819.3</v>
      </c>
      <c r="L58">
        <v>20</v>
      </c>
      <c r="M58">
        <v>7.52</v>
      </c>
      <c r="N58">
        <v>297.01</v>
      </c>
      <c r="O58">
        <v>4.55</v>
      </c>
      <c r="P58">
        <v>490.2</v>
      </c>
      <c r="Q58">
        <v>874.9</v>
      </c>
      <c r="R58">
        <v>4</v>
      </c>
      <c r="S58">
        <v>-384.7</v>
      </c>
      <c r="T58" s="2">
        <v>-0.37580000000000002</v>
      </c>
      <c r="U58">
        <v>229</v>
      </c>
      <c r="V58">
        <v>-613.70000000000005</v>
      </c>
      <c r="W58" s="2">
        <v>-0.59950000000000003</v>
      </c>
    </row>
    <row r="59" spans="1:23" x14ac:dyDescent="0.35">
      <c r="A59" t="s">
        <v>138</v>
      </c>
      <c r="B59" t="s">
        <v>139</v>
      </c>
      <c r="C59" t="s">
        <v>138</v>
      </c>
      <c r="D59">
        <v>3960</v>
      </c>
      <c r="E59">
        <v>99</v>
      </c>
      <c r="F59">
        <v>84</v>
      </c>
      <c r="G59">
        <v>4.8</v>
      </c>
      <c r="H59">
        <v>0.9</v>
      </c>
      <c r="I59">
        <v>78.3</v>
      </c>
      <c r="K59">
        <v>78.3</v>
      </c>
      <c r="M59">
        <v>7.52</v>
      </c>
      <c r="N59">
        <v>1.59</v>
      </c>
      <c r="O59">
        <v>4.55</v>
      </c>
      <c r="P59">
        <v>64.599999999999994</v>
      </c>
      <c r="Q59">
        <v>1229.96</v>
      </c>
      <c r="R59">
        <v>40</v>
      </c>
      <c r="S59">
        <v>-1165.3</v>
      </c>
      <c r="T59" s="2">
        <v>-14.8849</v>
      </c>
      <c r="U59">
        <v>229</v>
      </c>
      <c r="V59">
        <v>-1394.3</v>
      </c>
      <c r="W59" s="2">
        <v>-17.809999999999999</v>
      </c>
    </row>
    <row r="60" spans="1:23" x14ac:dyDescent="0.35">
      <c r="A60" t="s">
        <v>140</v>
      </c>
      <c r="B60" t="s">
        <v>141</v>
      </c>
      <c r="C60" t="s">
        <v>140</v>
      </c>
      <c r="D60">
        <v>8725</v>
      </c>
      <c r="E60">
        <v>349</v>
      </c>
      <c r="F60">
        <v>296</v>
      </c>
      <c r="G60">
        <v>4.8</v>
      </c>
      <c r="H60">
        <v>4.7</v>
      </c>
      <c r="I60">
        <v>286.3</v>
      </c>
      <c r="J60">
        <v>50.42</v>
      </c>
      <c r="K60">
        <v>235.9</v>
      </c>
      <c r="L60">
        <v>5</v>
      </c>
      <c r="M60">
        <v>7.52</v>
      </c>
      <c r="N60">
        <v>94.74</v>
      </c>
      <c r="O60">
        <v>4.55</v>
      </c>
      <c r="P60">
        <v>124.1</v>
      </c>
      <c r="Q60">
        <v>292.2</v>
      </c>
      <c r="R60">
        <v>25</v>
      </c>
      <c r="S60">
        <v>-168.1</v>
      </c>
      <c r="T60" s="2">
        <v>-0.58720000000000006</v>
      </c>
      <c r="U60">
        <v>229</v>
      </c>
      <c r="V60">
        <v>-397.1</v>
      </c>
      <c r="W60" s="2">
        <v>-1.387</v>
      </c>
    </row>
    <row r="61" spans="1:23" x14ac:dyDescent="0.35">
      <c r="A61" t="s">
        <v>142</v>
      </c>
      <c r="B61" t="s">
        <v>143</v>
      </c>
      <c r="C61" t="s">
        <v>29</v>
      </c>
      <c r="D61">
        <v>1810</v>
      </c>
      <c r="E61">
        <v>1847</v>
      </c>
      <c r="F61">
        <v>1565</v>
      </c>
      <c r="G61">
        <v>4.8</v>
      </c>
      <c r="H61">
        <v>60.3</v>
      </c>
      <c r="I61">
        <v>1500.2</v>
      </c>
      <c r="J61">
        <v>381.3</v>
      </c>
      <c r="K61">
        <v>1118.9000000000001</v>
      </c>
      <c r="L61">
        <v>16.5</v>
      </c>
      <c r="M61">
        <v>7.52</v>
      </c>
      <c r="N61">
        <v>174.01</v>
      </c>
      <c r="O61">
        <v>4.55</v>
      </c>
      <c r="P61">
        <v>916.3</v>
      </c>
      <c r="Q61">
        <v>2310.42</v>
      </c>
      <c r="R61">
        <v>1</v>
      </c>
      <c r="S61">
        <v>-1394.1</v>
      </c>
      <c r="T61" s="2">
        <v>-0.92930000000000001</v>
      </c>
      <c r="U61">
        <v>229</v>
      </c>
      <c r="V61">
        <v>-1623.1</v>
      </c>
      <c r="W61" s="2">
        <v>-1.0820000000000001</v>
      </c>
    </row>
    <row r="62" spans="1:23" x14ac:dyDescent="0.35">
      <c r="A62" t="s">
        <v>144</v>
      </c>
      <c r="B62" t="s">
        <v>145</v>
      </c>
      <c r="C62" t="s">
        <v>29</v>
      </c>
      <c r="D62">
        <v>0</v>
      </c>
      <c r="E62">
        <v>998</v>
      </c>
      <c r="F62">
        <v>846</v>
      </c>
      <c r="G62">
        <v>4.8</v>
      </c>
      <c r="H62" t="e">
        <f>#N/A</f>
        <v>#N/A</v>
      </c>
      <c r="I62" t="e">
        <f>#N/A</f>
        <v>#N/A</v>
      </c>
      <c r="J62">
        <v>141.74</v>
      </c>
      <c r="K62" t="e">
        <f>#N/A</f>
        <v>#N/A</v>
      </c>
      <c r="L62">
        <v>10.5</v>
      </c>
      <c r="M62">
        <v>7.52</v>
      </c>
      <c r="N62" t="s">
        <v>154</v>
      </c>
      <c r="O62">
        <v>4.55</v>
      </c>
      <c r="P62" t="e">
        <f>#N/A</f>
        <v>#N/A</v>
      </c>
      <c r="Q62" t="e">
        <f>#DIV/0!</f>
        <v>#DIV/0!</v>
      </c>
      <c r="R62">
        <v>0</v>
      </c>
      <c r="S62" t="e">
        <f>#N/A</f>
        <v>#N/A</v>
      </c>
      <c r="T62" t="e">
        <f>#N/A</f>
        <v>#N/A</v>
      </c>
      <c r="U62">
        <v>229</v>
      </c>
      <c r="V62" t="e">
        <f>#N/A</f>
        <v>#N/A</v>
      </c>
      <c r="W62" t="e">
        <f>#N/A</f>
        <v>#N/A</v>
      </c>
    </row>
    <row r="63" spans="1:23" x14ac:dyDescent="0.35">
      <c r="A63" t="s">
        <v>146</v>
      </c>
      <c r="B63" t="s">
        <v>147</v>
      </c>
      <c r="C63" t="s">
        <v>29</v>
      </c>
      <c r="D63">
        <v>8359</v>
      </c>
      <c r="E63">
        <v>1098</v>
      </c>
      <c r="F63">
        <v>931</v>
      </c>
      <c r="G63">
        <v>4.8</v>
      </c>
      <c r="H63" t="e">
        <f>#N/A</f>
        <v>#N/A</v>
      </c>
      <c r="I63" t="e">
        <f>#N/A</f>
        <v>#N/A</v>
      </c>
      <c r="J63">
        <v>134.33000000000001</v>
      </c>
      <c r="K63" t="e">
        <f>#N/A</f>
        <v>#N/A</v>
      </c>
      <c r="L63">
        <v>15</v>
      </c>
      <c r="M63">
        <v>7.52</v>
      </c>
      <c r="N63">
        <v>141.01</v>
      </c>
      <c r="O63">
        <v>4.55</v>
      </c>
      <c r="P63" t="e">
        <f>#N/A</f>
        <v>#N/A</v>
      </c>
      <c r="Q63">
        <v>1282.6199999999999</v>
      </c>
      <c r="R63">
        <v>8</v>
      </c>
      <c r="S63" t="e">
        <f>#N/A</f>
        <v>#N/A</v>
      </c>
      <c r="T63" t="e">
        <f>#N/A</f>
        <v>#N/A</v>
      </c>
      <c r="U63">
        <v>229</v>
      </c>
      <c r="V63" t="e">
        <f>#N/A</f>
        <v>#N/A</v>
      </c>
      <c r="W63" t="e">
        <f>#N/A</f>
        <v>#N/A</v>
      </c>
    </row>
    <row r="64" spans="1:23" x14ac:dyDescent="0.35">
      <c r="A64" t="s">
        <v>148</v>
      </c>
      <c r="B64" t="s">
        <v>149</v>
      </c>
      <c r="C64" t="s">
        <v>29</v>
      </c>
      <c r="D64">
        <v>5237</v>
      </c>
      <c r="E64">
        <v>1098</v>
      </c>
      <c r="F64">
        <v>931</v>
      </c>
      <c r="G64">
        <v>4.8</v>
      </c>
      <c r="H64">
        <v>19</v>
      </c>
      <c r="I64">
        <v>906.7</v>
      </c>
      <c r="J64">
        <v>139.36000000000001</v>
      </c>
      <c r="K64">
        <v>767.4</v>
      </c>
      <c r="L64">
        <v>11.5</v>
      </c>
      <c r="M64">
        <v>7.52</v>
      </c>
      <c r="N64">
        <v>144.9</v>
      </c>
      <c r="O64">
        <v>4.55</v>
      </c>
      <c r="P64">
        <v>598.9</v>
      </c>
      <c r="Q64">
        <v>530.04</v>
      </c>
      <c r="R64">
        <v>5</v>
      </c>
      <c r="S64">
        <v>68.900000000000006</v>
      </c>
      <c r="T64" s="2">
        <v>7.5999999999999998E-2</v>
      </c>
      <c r="U64">
        <v>229</v>
      </c>
      <c r="V64">
        <v>-160.1</v>
      </c>
      <c r="W64" s="2">
        <v>-0.17660000000000001</v>
      </c>
    </row>
    <row r="65" spans="1:23" x14ac:dyDescent="0.35">
      <c r="A65" t="s">
        <v>152</v>
      </c>
      <c r="B65" t="s">
        <v>153</v>
      </c>
      <c r="C65" t="s">
        <v>29</v>
      </c>
      <c r="D65" t="e">
        <f>#N/A</f>
        <v>#N/A</v>
      </c>
      <c r="E65" t="s">
        <v>154</v>
      </c>
      <c r="F65">
        <v>1048</v>
      </c>
      <c r="G65">
        <v>4.8</v>
      </c>
      <c r="H65" t="e">
        <f>#N/A</f>
        <v>#N/A</v>
      </c>
      <c r="I65" t="e">
        <f>#N/A</f>
        <v>#N/A</v>
      </c>
      <c r="J65">
        <v>135.4</v>
      </c>
      <c r="K65" t="e">
        <f>#N/A</f>
        <v>#N/A</v>
      </c>
      <c r="L65">
        <v>13.5</v>
      </c>
      <c r="M65">
        <v>7.52</v>
      </c>
      <c r="N65" t="s">
        <v>154</v>
      </c>
      <c r="O65">
        <v>4.55</v>
      </c>
      <c r="P65" t="e">
        <f>#N/A</f>
        <v>#N/A</v>
      </c>
      <c r="Q65" t="e">
        <f>#VALUE!</f>
        <v>#VALUE!</v>
      </c>
      <c r="R65" t="s">
        <v>154</v>
      </c>
      <c r="S65" t="e">
        <f>#N/A</f>
        <v>#N/A</v>
      </c>
      <c r="T65" t="e">
        <f>#N/A</f>
        <v>#N/A</v>
      </c>
      <c r="U65">
        <v>229</v>
      </c>
      <c r="V65" t="e">
        <f>#N/A</f>
        <v>#N/A</v>
      </c>
      <c r="W65" t="e">
        <f>#N/A</f>
        <v>#N/A</v>
      </c>
    </row>
    <row r="66" spans="1:23" x14ac:dyDescent="0.35">
      <c r="A66" t="s">
        <v>155</v>
      </c>
      <c r="B66" t="s">
        <v>156</v>
      </c>
      <c r="C66" t="s">
        <v>29</v>
      </c>
      <c r="D66">
        <v>1712</v>
      </c>
      <c r="E66">
        <v>1747</v>
      </c>
      <c r="F66">
        <v>1481</v>
      </c>
      <c r="G66">
        <v>4.8</v>
      </c>
      <c r="H66">
        <v>22.7</v>
      </c>
      <c r="I66">
        <v>1453.1</v>
      </c>
      <c r="J66">
        <v>435.83</v>
      </c>
      <c r="K66">
        <v>1017.2</v>
      </c>
      <c r="L66">
        <v>20</v>
      </c>
      <c r="M66">
        <v>7.52</v>
      </c>
      <c r="N66">
        <v>505.33</v>
      </c>
      <c r="O66">
        <v>4.55</v>
      </c>
      <c r="P66">
        <v>479.8</v>
      </c>
      <c r="Q66">
        <v>2955.97</v>
      </c>
      <c r="R66">
        <v>1</v>
      </c>
      <c r="S66">
        <v>-2476.1</v>
      </c>
      <c r="T66" s="2">
        <v>-1.7040999999999999</v>
      </c>
      <c r="U66">
        <v>229</v>
      </c>
      <c r="V66">
        <v>-2705.1</v>
      </c>
      <c r="W66" s="2">
        <v>-1.8616999999999999</v>
      </c>
    </row>
    <row r="67" spans="1:23" x14ac:dyDescent="0.35">
      <c r="A67" t="s">
        <v>157</v>
      </c>
      <c r="B67" t="s">
        <v>158</v>
      </c>
      <c r="C67" t="s">
        <v>29</v>
      </c>
      <c r="D67">
        <v>1418</v>
      </c>
      <c r="E67">
        <v>1447</v>
      </c>
      <c r="F67">
        <v>1226</v>
      </c>
      <c r="G67">
        <v>4.8</v>
      </c>
      <c r="H67">
        <v>13.8</v>
      </c>
      <c r="I67">
        <v>1207.7</v>
      </c>
      <c r="J67">
        <v>174.27</v>
      </c>
      <c r="K67">
        <v>1033.4000000000001</v>
      </c>
      <c r="L67">
        <v>16.5</v>
      </c>
      <c r="M67">
        <v>7.52</v>
      </c>
      <c r="N67">
        <v>407.32</v>
      </c>
      <c r="O67">
        <v>4.55</v>
      </c>
      <c r="P67">
        <v>597.5</v>
      </c>
      <c r="Q67">
        <v>3329.72</v>
      </c>
      <c r="R67">
        <v>1</v>
      </c>
      <c r="S67">
        <v>-2732.2</v>
      </c>
      <c r="T67" s="2">
        <v>-2.2623000000000002</v>
      </c>
      <c r="U67">
        <v>229</v>
      </c>
      <c r="V67">
        <v>-2961.2</v>
      </c>
      <c r="W67" s="2">
        <v>-2.4519000000000002</v>
      </c>
    </row>
    <row r="68" spans="1:23" x14ac:dyDescent="0.35">
      <c r="A68" t="s">
        <v>159</v>
      </c>
      <c r="B68" t="s">
        <v>160</v>
      </c>
      <c r="C68" t="s">
        <v>159</v>
      </c>
      <c r="D68">
        <v>14112</v>
      </c>
      <c r="E68">
        <v>160</v>
      </c>
      <c r="F68">
        <v>136</v>
      </c>
      <c r="G68">
        <v>4.8</v>
      </c>
      <c r="H68">
        <v>1.5</v>
      </c>
      <c r="I68">
        <v>129.30000000000001</v>
      </c>
      <c r="K68">
        <v>129.30000000000001</v>
      </c>
      <c r="M68">
        <v>7.52</v>
      </c>
      <c r="N68">
        <v>103.92</v>
      </c>
      <c r="O68">
        <v>4.55</v>
      </c>
      <c r="P68">
        <v>13.3</v>
      </c>
      <c r="Q68">
        <v>59.22</v>
      </c>
      <c r="R68">
        <v>105</v>
      </c>
      <c r="S68">
        <v>-45.9</v>
      </c>
      <c r="T68" s="2">
        <v>-0.35510000000000003</v>
      </c>
      <c r="U68">
        <v>229</v>
      </c>
      <c r="V68">
        <v>-274.89999999999998</v>
      </c>
      <c r="W68" s="2">
        <v>-2.1261999999999999</v>
      </c>
    </row>
    <row r="69" spans="1:23" x14ac:dyDescent="0.35">
      <c r="A69" t="s">
        <v>161</v>
      </c>
      <c r="B69" t="s">
        <v>162</v>
      </c>
      <c r="C69" t="s">
        <v>29</v>
      </c>
      <c r="D69">
        <v>2535</v>
      </c>
      <c r="E69">
        <v>1098</v>
      </c>
      <c r="F69">
        <v>931</v>
      </c>
      <c r="G69">
        <v>4.8</v>
      </c>
      <c r="H69">
        <v>11</v>
      </c>
      <c r="I69">
        <v>914.7</v>
      </c>
      <c r="J69">
        <v>212</v>
      </c>
      <c r="K69">
        <v>702.7</v>
      </c>
      <c r="L69">
        <v>11</v>
      </c>
      <c r="M69">
        <v>7.52</v>
      </c>
      <c r="N69">
        <v>87.66</v>
      </c>
      <c r="O69">
        <v>4.55</v>
      </c>
      <c r="P69">
        <v>592</v>
      </c>
      <c r="Q69">
        <v>2219.81</v>
      </c>
      <c r="R69">
        <v>3</v>
      </c>
      <c r="S69">
        <v>-1627.8</v>
      </c>
      <c r="T69" s="2">
        <v>-1.7795000000000001</v>
      </c>
      <c r="U69">
        <v>229</v>
      </c>
      <c r="V69">
        <v>-1856.8</v>
      </c>
      <c r="W69" s="2">
        <v>-2.0299</v>
      </c>
    </row>
    <row r="70" spans="1:23" x14ac:dyDescent="0.35">
      <c r="A70" t="s">
        <v>163</v>
      </c>
      <c r="B70" t="s">
        <v>164</v>
      </c>
      <c r="C70" t="s">
        <v>163</v>
      </c>
      <c r="D70">
        <v>0</v>
      </c>
      <c r="E70">
        <v>549</v>
      </c>
      <c r="F70">
        <v>465</v>
      </c>
      <c r="G70">
        <v>4.8</v>
      </c>
      <c r="H70" t="e">
        <f>#N/A</f>
        <v>#N/A</v>
      </c>
      <c r="I70" t="e">
        <f>#N/A</f>
        <v>#N/A</v>
      </c>
      <c r="J70">
        <v>106</v>
      </c>
      <c r="K70" t="e">
        <f>#N/A</f>
        <v>#N/A</v>
      </c>
      <c r="L70">
        <v>5.5</v>
      </c>
      <c r="M70">
        <v>7.52</v>
      </c>
      <c r="N70" t="s">
        <v>154</v>
      </c>
      <c r="O70">
        <v>4.55</v>
      </c>
      <c r="P70" t="e">
        <f>#N/A</f>
        <v>#N/A</v>
      </c>
      <c r="Q70" t="e">
        <f>#DIV/0!</f>
        <v>#DIV/0!</v>
      </c>
      <c r="R70">
        <v>0</v>
      </c>
      <c r="S70" t="e">
        <f>#N/A</f>
        <v>#N/A</v>
      </c>
      <c r="T70" t="e">
        <f>#N/A</f>
        <v>#N/A</v>
      </c>
      <c r="U70">
        <v>229</v>
      </c>
      <c r="V70" t="e">
        <f>#N/A</f>
        <v>#N/A</v>
      </c>
      <c r="W70" t="e">
        <f>#N/A</f>
        <v>#N/A</v>
      </c>
    </row>
    <row r="71" spans="1:23" x14ac:dyDescent="0.35">
      <c r="A71" t="s">
        <v>138</v>
      </c>
      <c r="B71" t="s">
        <v>165</v>
      </c>
      <c r="C71" t="s">
        <v>138</v>
      </c>
      <c r="D71">
        <v>792</v>
      </c>
      <c r="E71">
        <v>99</v>
      </c>
      <c r="F71">
        <v>84</v>
      </c>
      <c r="G71">
        <v>4.8</v>
      </c>
      <c r="H71">
        <v>0.9</v>
      </c>
      <c r="I71">
        <v>78.2</v>
      </c>
      <c r="K71">
        <v>78.2</v>
      </c>
      <c r="M71">
        <v>7.52</v>
      </c>
      <c r="N71" t="s">
        <v>154</v>
      </c>
      <c r="O71">
        <v>4.55</v>
      </c>
      <c r="P71">
        <v>66.2</v>
      </c>
      <c r="Q71">
        <v>832.43</v>
      </c>
      <c r="R71">
        <v>8</v>
      </c>
      <c r="S71">
        <v>-766.3</v>
      </c>
      <c r="T71" s="2">
        <v>-9.7951999999999995</v>
      </c>
      <c r="U71">
        <v>229</v>
      </c>
      <c r="V71">
        <v>-995.3</v>
      </c>
      <c r="W71" s="2">
        <v>-12.7225</v>
      </c>
    </row>
    <row r="72" spans="1:23" x14ac:dyDescent="0.35">
      <c r="A72" t="s">
        <v>166</v>
      </c>
      <c r="B72" t="s">
        <v>167</v>
      </c>
      <c r="C72" t="s">
        <v>29</v>
      </c>
      <c r="D72">
        <v>1420</v>
      </c>
      <c r="E72">
        <v>748</v>
      </c>
      <c r="F72">
        <v>634</v>
      </c>
      <c r="G72">
        <v>4.8</v>
      </c>
      <c r="H72">
        <v>8.1</v>
      </c>
      <c r="I72">
        <v>621.1</v>
      </c>
      <c r="J72">
        <v>104.42</v>
      </c>
      <c r="K72">
        <v>516.6</v>
      </c>
      <c r="L72">
        <v>13.5</v>
      </c>
      <c r="M72">
        <v>7.52</v>
      </c>
      <c r="N72">
        <v>110.26</v>
      </c>
      <c r="O72">
        <v>4.55</v>
      </c>
      <c r="P72">
        <v>380.8</v>
      </c>
      <c r="Q72">
        <v>1477.99</v>
      </c>
      <c r="R72">
        <v>2</v>
      </c>
      <c r="S72">
        <v>-1097.2</v>
      </c>
      <c r="T72" s="2">
        <v>-1.7666999999999999</v>
      </c>
      <c r="U72">
        <v>229</v>
      </c>
      <c r="V72">
        <v>-1326.2</v>
      </c>
      <c r="W72" s="2">
        <v>-2.1354000000000002</v>
      </c>
    </row>
    <row r="73" spans="1:23" x14ac:dyDescent="0.35">
      <c r="A73" t="s">
        <v>168</v>
      </c>
      <c r="B73" t="s">
        <v>169</v>
      </c>
      <c r="C73" t="s">
        <v>168</v>
      </c>
      <c r="D73">
        <v>0</v>
      </c>
      <c r="E73">
        <v>699</v>
      </c>
      <c r="F73">
        <v>592</v>
      </c>
      <c r="G73">
        <v>4.8</v>
      </c>
      <c r="H73" t="e">
        <f>#N/A</f>
        <v>#N/A</v>
      </c>
      <c r="I73" t="e">
        <f>#N/A</f>
        <v>#N/A</v>
      </c>
      <c r="J73">
        <v>105</v>
      </c>
      <c r="K73" t="e">
        <f>#N/A</f>
        <v>#N/A</v>
      </c>
      <c r="L73">
        <v>8.5</v>
      </c>
      <c r="M73">
        <v>7.52</v>
      </c>
      <c r="N73" t="e">
        <f>#DIV/0!</f>
        <v>#DIV/0!</v>
      </c>
      <c r="O73">
        <v>4.55</v>
      </c>
      <c r="P73" t="e">
        <f>#N/A</f>
        <v>#N/A</v>
      </c>
      <c r="Q73" t="e">
        <f>#DIV/0!</f>
        <v>#DIV/0!</v>
      </c>
      <c r="R73">
        <v>0</v>
      </c>
      <c r="S73" t="e">
        <f>#N/A</f>
        <v>#N/A</v>
      </c>
      <c r="T73" t="e">
        <f>#N/A</f>
        <v>#N/A</v>
      </c>
      <c r="U73">
        <v>229</v>
      </c>
      <c r="V73" t="e">
        <f>#N/A</f>
        <v>#N/A</v>
      </c>
      <c r="W73" t="e">
        <f>#N/A</f>
        <v>#N/A</v>
      </c>
    </row>
    <row r="74" spans="1:23" x14ac:dyDescent="0.35">
      <c r="A74" t="s">
        <v>172</v>
      </c>
      <c r="B74" t="s">
        <v>173</v>
      </c>
      <c r="C74" t="s">
        <v>172</v>
      </c>
      <c r="D74">
        <v>299</v>
      </c>
      <c r="E74">
        <v>299</v>
      </c>
      <c r="F74">
        <v>253</v>
      </c>
      <c r="G74">
        <v>4.8</v>
      </c>
      <c r="H74">
        <v>7.4</v>
      </c>
      <c r="I74">
        <v>241.2</v>
      </c>
      <c r="J74">
        <v>34</v>
      </c>
      <c r="K74">
        <v>207.2</v>
      </c>
      <c r="L74">
        <v>4</v>
      </c>
      <c r="M74">
        <v>7.52</v>
      </c>
      <c r="N74">
        <v>74.040000000000006</v>
      </c>
      <c r="O74">
        <v>4.55</v>
      </c>
      <c r="P74">
        <v>117.1</v>
      </c>
      <c r="Q74">
        <v>883.39</v>
      </c>
      <c r="R74">
        <v>1</v>
      </c>
      <c r="S74">
        <v>-766.3</v>
      </c>
      <c r="T74" s="2">
        <v>-3.1764999999999999</v>
      </c>
      <c r="U74">
        <v>229</v>
      </c>
      <c r="V74">
        <v>-995.3</v>
      </c>
      <c r="W74" s="2">
        <v>-4.1257999999999999</v>
      </c>
    </row>
    <row r="75" spans="1:23" x14ac:dyDescent="0.35">
      <c r="A75" t="s">
        <v>154</v>
      </c>
      <c r="B75" t="s">
        <v>174</v>
      </c>
      <c r="C75" t="s">
        <v>154</v>
      </c>
      <c r="D75" t="e">
        <f>#N/A</f>
        <v>#N/A</v>
      </c>
      <c r="E75" t="s">
        <v>154</v>
      </c>
      <c r="F75" t="s">
        <v>154</v>
      </c>
      <c r="G75">
        <v>4.8</v>
      </c>
      <c r="H75" t="e">
        <f>#N/A</f>
        <v>#N/A</v>
      </c>
      <c r="I75" t="e">
        <f>#N/A</f>
        <v>#N/A</v>
      </c>
      <c r="K75" t="e">
        <f>#N/A</f>
        <v>#N/A</v>
      </c>
      <c r="M75">
        <v>7.52</v>
      </c>
      <c r="N75" t="e">
        <f>#VALUE!</f>
        <v>#VALUE!</v>
      </c>
      <c r="O75">
        <v>4.55</v>
      </c>
      <c r="P75" t="e">
        <f>#N/A</f>
        <v>#N/A</v>
      </c>
      <c r="Q75" t="e">
        <f>#VALUE!</f>
        <v>#VALUE!</v>
      </c>
      <c r="R75" t="s">
        <v>154</v>
      </c>
      <c r="S75" t="e">
        <f>#N/A</f>
        <v>#N/A</v>
      </c>
      <c r="T75" t="e">
        <f>#N/A</f>
        <v>#N/A</v>
      </c>
      <c r="U75">
        <v>229</v>
      </c>
      <c r="V75" t="e">
        <f>#N/A</f>
        <v>#N/A</v>
      </c>
      <c r="W75" t="e">
        <f>#N/A</f>
        <v>#N/A</v>
      </c>
    </row>
    <row r="76" spans="1:23" x14ac:dyDescent="0.35">
      <c r="A76" t="s">
        <v>154</v>
      </c>
      <c r="B76" t="s">
        <v>175</v>
      </c>
      <c r="C76" t="s">
        <v>154</v>
      </c>
      <c r="D76" t="e">
        <f>#N/A</f>
        <v>#N/A</v>
      </c>
      <c r="E76" t="s">
        <v>154</v>
      </c>
      <c r="F76" t="s">
        <v>154</v>
      </c>
      <c r="G76">
        <v>4.8</v>
      </c>
      <c r="H76" t="e">
        <f>#N/A</f>
        <v>#N/A</v>
      </c>
      <c r="I76" t="e">
        <f>#N/A</f>
        <v>#N/A</v>
      </c>
      <c r="K76" t="e">
        <f>#N/A</f>
        <v>#N/A</v>
      </c>
      <c r="M76">
        <v>7.52</v>
      </c>
      <c r="N76" t="e">
        <f>#VALUE!</f>
        <v>#VALUE!</v>
      </c>
      <c r="O76">
        <v>4.55</v>
      </c>
      <c r="P76" t="e">
        <f>#N/A</f>
        <v>#N/A</v>
      </c>
      <c r="Q76" t="e">
        <f>#VALUE!</f>
        <v>#VALUE!</v>
      </c>
      <c r="R76" t="s">
        <v>154</v>
      </c>
      <c r="S76" t="e">
        <f>#N/A</f>
        <v>#N/A</v>
      </c>
      <c r="T76" t="e">
        <f>#N/A</f>
        <v>#N/A</v>
      </c>
      <c r="U76">
        <v>229</v>
      </c>
      <c r="V76" t="e">
        <f>#N/A</f>
        <v>#N/A</v>
      </c>
      <c r="W76" t="e">
        <f>#N/A</f>
        <v>#N/A</v>
      </c>
    </row>
    <row r="77" spans="1:23" x14ac:dyDescent="0.35">
      <c r="A77" t="s">
        <v>154</v>
      </c>
      <c r="B77" t="s">
        <v>176</v>
      </c>
      <c r="C77" t="s">
        <v>154</v>
      </c>
      <c r="D77" t="e">
        <f>#N/A</f>
        <v>#N/A</v>
      </c>
      <c r="E77" t="s">
        <v>154</v>
      </c>
      <c r="F77" t="s">
        <v>154</v>
      </c>
      <c r="G77">
        <v>4.8</v>
      </c>
      <c r="H77" t="e">
        <f>#N/A</f>
        <v>#N/A</v>
      </c>
      <c r="I77" t="e">
        <f>#N/A</f>
        <v>#N/A</v>
      </c>
      <c r="K77" t="e">
        <f>#N/A</f>
        <v>#N/A</v>
      </c>
      <c r="M77">
        <v>7.52</v>
      </c>
      <c r="N77" t="e">
        <f>#VALUE!</f>
        <v>#VALUE!</v>
      </c>
      <c r="O77">
        <v>4.55</v>
      </c>
      <c r="P77" t="e">
        <f>#N/A</f>
        <v>#N/A</v>
      </c>
      <c r="Q77" t="e">
        <f>#VALUE!</f>
        <v>#VALUE!</v>
      </c>
      <c r="R77" t="s">
        <v>154</v>
      </c>
      <c r="S77" t="e">
        <f>#N/A</f>
        <v>#N/A</v>
      </c>
      <c r="T77" t="e">
        <f>#N/A</f>
        <v>#N/A</v>
      </c>
      <c r="U77">
        <v>229</v>
      </c>
      <c r="V77" t="e">
        <f>#N/A</f>
        <v>#N/A</v>
      </c>
      <c r="W77" t="e">
        <f>#N/A</f>
        <v>#N/A</v>
      </c>
    </row>
    <row r="78" spans="1:23" x14ac:dyDescent="0.35">
      <c r="A78" t="s">
        <v>177</v>
      </c>
      <c r="B78" t="s">
        <v>178</v>
      </c>
      <c r="C78" t="s">
        <v>29</v>
      </c>
      <c r="D78">
        <v>3466</v>
      </c>
      <c r="E78">
        <v>1797</v>
      </c>
      <c r="F78">
        <v>1523</v>
      </c>
      <c r="G78">
        <v>4.8</v>
      </c>
      <c r="H78">
        <v>40</v>
      </c>
      <c r="I78">
        <v>1478.1</v>
      </c>
      <c r="K78">
        <v>1478.1</v>
      </c>
      <c r="M78">
        <v>7.52</v>
      </c>
      <c r="N78">
        <v>3456.93</v>
      </c>
      <c r="O78">
        <v>4.55</v>
      </c>
      <c r="P78">
        <v>-1990.9</v>
      </c>
      <c r="Q78">
        <v>594.59</v>
      </c>
      <c r="R78">
        <v>2</v>
      </c>
      <c r="S78">
        <v>-2585.5</v>
      </c>
      <c r="T78" s="2">
        <v>-1.7492000000000001</v>
      </c>
      <c r="U78">
        <v>229</v>
      </c>
      <c r="V78">
        <v>-2814.5</v>
      </c>
      <c r="W78" s="2">
        <v>-1.9041999999999999</v>
      </c>
    </row>
    <row r="79" spans="1:23" x14ac:dyDescent="0.35">
      <c r="A79" t="s">
        <v>120</v>
      </c>
      <c r="B79" t="s">
        <v>179</v>
      </c>
      <c r="C79" t="s">
        <v>120</v>
      </c>
      <c r="D79">
        <v>0</v>
      </c>
      <c r="E79">
        <v>399</v>
      </c>
      <c r="F79">
        <v>338</v>
      </c>
      <c r="G79">
        <v>4.8</v>
      </c>
      <c r="H79" t="e">
        <f>#N/A</f>
        <v>#N/A</v>
      </c>
      <c r="I79" t="e">
        <f>#N/A</f>
        <v>#N/A</v>
      </c>
      <c r="K79" t="e">
        <f>#N/A</f>
        <v>#N/A</v>
      </c>
      <c r="M79">
        <v>7.52</v>
      </c>
      <c r="N79" t="e">
        <f>#DIV/0!</f>
        <v>#DIV/0!</v>
      </c>
      <c r="O79">
        <v>4.55</v>
      </c>
      <c r="P79" t="e">
        <f>#N/A</f>
        <v>#N/A</v>
      </c>
      <c r="Q79" t="e">
        <f>#DIV/0!</f>
        <v>#DIV/0!</v>
      </c>
      <c r="R79">
        <v>0</v>
      </c>
      <c r="S79" t="e">
        <f>#N/A</f>
        <v>#N/A</v>
      </c>
      <c r="T79" t="e">
        <f>#N/A</f>
        <v>#N/A</v>
      </c>
      <c r="U79">
        <v>229</v>
      </c>
      <c r="V79" t="e">
        <f>#N/A</f>
        <v>#N/A</v>
      </c>
      <c r="W79" t="e">
        <f>#N/A</f>
        <v>#N/A</v>
      </c>
    </row>
    <row r="80" spans="1:23" x14ac:dyDescent="0.35">
      <c r="A80" t="s">
        <v>120</v>
      </c>
      <c r="B80" t="s">
        <v>180</v>
      </c>
      <c r="C80" t="s">
        <v>120</v>
      </c>
      <c r="D80" t="e">
        <f>#N/A</f>
        <v>#N/A</v>
      </c>
      <c r="E80">
        <v>3990</v>
      </c>
      <c r="F80">
        <v>3381</v>
      </c>
      <c r="G80">
        <v>4.8</v>
      </c>
      <c r="H80" t="e">
        <f>#N/A</f>
        <v>#N/A</v>
      </c>
      <c r="I80" t="e">
        <f>#N/A</f>
        <v>#N/A</v>
      </c>
      <c r="K80" t="e">
        <f>#N/A</f>
        <v>#N/A</v>
      </c>
      <c r="M80">
        <v>7.52</v>
      </c>
      <c r="N80" t="e">
        <f>#VALUE!</f>
        <v>#VALUE!</v>
      </c>
      <c r="O80">
        <v>4.55</v>
      </c>
      <c r="P80" t="e">
        <f>#N/A</f>
        <v>#N/A</v>
      </c>
      <c r="Q80" t="e">
        <f>#VALUE!</f>
        <v>#VALUE!</v>
      </c>
      <c r="R80" t="s">
        <v>154</v>
      </c>
      <c r="S80" t="e">
        <f>#N/A</f>
        <v>#N/A</v>
      </c>
      <c r="T80" t="e">
        <f>#N/A</f>
        <v>#N/A</v>
      </c>
      <c r="U80">
        <v>229</v>
      </c>
      <c r="V80" t="e">
        <f>#N/A</f>
        <v>#N/A</v>
      </c>
      <c r="W80" t="e">
        <f>#N/A</f>
        <v>#N/A</v>
      </c>
    </row>
    <row r="81" spans="1:23" x14ac:dyDescent="0.35">
      <c r="A81" t="s">
        <v>120</v>
      </c>
      <c r="B81" t="s">
        <v>181</v>
      </c>
      <c r="C81" t="s">
        <v>120</v>
      </c>
      <c r="D81" t="e">
        <f>#N/A</f>
        <v>#N/A</v>
      </c>
      <c r="E81">
        <v>1995</v>
      </c>
      <c r="F81">
        <v>1691</v>
      </c>
      <c r="G81">
        <v>4.8</v>
      </c>
      <c r="H81" t="e">
        <f>#N/A</f>
        <v>#N/A</v>
      </c>
      <c r="I81" t="e">
        <f>#N/A</f>
        <v>#N/A</v>
      </c>
      <c r="K81" t="e">
        <f>#N/A</f>
        <v>#N/A</v>
      </c>
      <c r="M81">
        <v>7.52</v>
      </c>
      <c r="N81" t="e">
        <f>#VALUE!</f>
        <v>#VALUE!</v>
      </c>
      <c r="O81">
        <v>4.55</v>
      </c>
      <c r="P81" t="e">
        <f>#N/A</f>
        <v>#N/A</v>
      </c>
      <c r="Q81" t="e">
        <f>#VALUE!</f>
        <v>#VALUE!</v>
      </c>
      <c r="R81" t="s">
        <v>154</v>
      </c>
      <c r="S81" t="e">
        <f>#N/A</f>
        <v>#N/A</v>
      </c>
      <c r="T81" t="e">
        <f>#N/A</f>
        <v>#N/A</v>
      </c>
      <c r="U81">
        <v>229</v>
      </c>
      <c r="V81" t="e">
        <f>#N/A</f>
        <v>#N/A</v>
      </c>
      <c r="W81" t="e">
        <f>#N/A</f>
        <v>#N/A</v>
      </c>
    </row>
    <row r="82" spans="1:23" x14ac:dyDescent="0.35">
      <c r="A82" t="s">
        <v>120</v>
      </c>
      <c r="B82" t="s">
        <v>182</v>
      </c>
      <c r="C82" t="s">
        <v>120</v>
      </c>
      <c r="D82" t="e">
        <f>#N/A</f>
        <v>#N/A</v>
      </c>
      <c r="E82">
        <v>1995</v>
      </c>
      <c r="F82">
        <v>1691</v>
      </c>
      <c r="G82">
        <v>4.8</v>
      </c>
      <c r="H82" t="e">
        <f>#N/A</f>
        <v>#N/A</v>
      </c>
      <c r="I82" t="e">
        <f>#N/A</f>
        <v>#N/A</v>
      </c>
      <c r="K82" t="e">
        <f>#N/A</f>
        <v>#N/A</v>
      </c>
      <c r="M82">
        <v>7.52</v>
      </c>
      <c r="N82" t="e">
        <f>#VALUE!</f>
        <v>#VALUE!</v>
      </c>
      <c r="O82">
        <v>4.55</v>
      </c>
      <c r="P82" t="e">
        <f>#N/A</f>
        <v>#N/A</v>
      </c>
      <c r="Q82" t="e">
        <f>#VALUE!</f>
        <v>#VALUE!</v>
      </c>
      <c r="R82" t="s">
        <v>154</v>
      </c>
      <c r="S82" t="e">
        <f>#N/A</f>
        <v>#N/A</v>
      </c>
      <c r="T82" t="e">
        <f>#N/A</f>
        <v>#N/A</v>
      </c>
      <c r="U82">
        <v>229</v>
      </c>
      <c r="V82" t="e">
        <f>#N/A</f>
        <v>#N/A</v>
      </c>
      <c r="W82" t="e">
        <f>#N/A</f>
        <v>#N/A</v>
      </c>
    </row>
    <row r="83" spans="1:23" x14ac:dyDescent="0.35">
      <c r="A83" t="s">
        <v>163</v>
      </c>
      <c r="B83" t="s">
        <v>183</v>
      </c>
      <c r="C83" t="s">
        <v>163</v>
      </c>
      <c r="D83" t="e">
        <f>#N/A</f>
        <v>#N/A</v>
      </c>
      <c r="E83">
        <v>549</v>
      </c>
      <c r="F83">
        <v>465</v>
      </c>
      <c r="G83">
        <v>4.8</v>
      </c>
      <c r="H83" t="e">
        <f>#N/A</f>
        <v>#N/A</v>
      </c>
      <c r="I83" t="e">
        <f>#N/A</f>
        <v>#N/A</v>
      </c>
      <c r="K83" t="e">
        <f>#N/A</f>
        <v>#N/A</v>
      </c>
      <c r="M83">
        <v>7.52</v>
      </c>
      <c r="N83" t="e">
        <f>#VALUE!</f>
        <v>#VALUE!</v>
      </c>
      <c r="O83">
        <v>4.55</v>
      </c>
      <c r="P83" t="e">
        <f>#N/A</f>
        <v>#N/A</v>
      </c>
      <c r="Q83" t="e">
        <f>#VALUE!</f>
        <v>#VALUE!</v>
      </c>
      <c r="R83" t="s">
        <v>154</v>
      </c>
      <c r="S83" t="e">
        <f>#N/A</f>
        <v>#N/A</v>
      </c>
      <c r="T83" t="e">
        <f>#N/A</f>
        <v>#N/A</v>
      </c>
      <c r="U83">
        <v>229</v>
      </c>
      <c r="V83" t="e">
        <f>#N/A</f>
        <v>#N/A</v>
      </c>
      <c r="W83" t="e">
        <f>#N/A</f>
        <v>#N/A</v>
      </c>
    </row>
    <row r="84" spans="1:23" x14ac:dyDescent="0.35">
      <c r="A84" t="s">
        <v>170</v>
      </c>
      <c r="B84" t="s">
        <v>184</v>
      </c>
      <c r="C84" t="s">
        <v>170</v>
      </c>
      <c r="D84">
        <v>0</v>
      </c>
      <c r="E84">
        <v>549</v>
      </c>
      <c r="F84">
        <v>465</v>
      </c>
      <c r="G84">
        <v>4.8</v>
      </c>
      <c r="H84" t="e">
        <f>#N/A</f>
        <v>#N/A</v>
      </c>
      <c r="I84" t="e">
        <f>#N/A</f>
        <v>#N/A</v>
      </c>
      <c r="K84" t="e">
        <f>#N/A</f>
        <v>#N/A</v>
      </c>
      <c r="M84">
        <v>7.52</v>
      </c>
      <c r="N84" t="e">
        <f>#DIV/0!</f>
        <v>#DIV/0!</v>
      </c>
      <c r="O84">
        <v>4.55</v>
      </c>
      <c r="P84" t="e">
        <f>#N/A</f>
        <v>#N/A</v>
      </c>
      <c r="Q84" t="e">
        <f>#DIV/0!</f>
        <v>#DIV/0!</v>
      </c>
      <c r="R84">
        <v>0</v>
      </c>
      <c r="S84" t="e">
        <f>#N/A</f>
        <v>#N/A</v>
      </c>
      <c r="T84" t="e">
        <f>#N/A</f>
        <v>#N/A</v>
      </c>
      <c r="U84">
        <v>229</v>
      </c>
      <c r="V84" t="e">
        <f>#N/A</f>
        <v>#N/A</v>
      </c>
      <c r="W84" t="e">
        <f>#N/A</f>
        <v>#N/A</v>
      </c>
    </row>
    <row r="85" spans="1:23" x14ac:dyDescent="0.35">
      <c r="A85" t="s">
        <v>163</v>
      </c>
      <c r="B85" t="s">
        <v>185</v>
      </c>
      <c r="C85" t="s">
        <v>163</v>
      </c>
      <c r="D85" t="e">
        <f>#N/A</f>
        <v>#N/A</v>
      </c>
      <c r="E85">
        <v>549</v>
      </c>
      <c r="F85">
        <v>465</v>
      </c>
      <c r="G85">
        <v>4.8</v>
      </c>
      <c r="H85" t="e">
        <f>#N/A</f>
        <v>#N/A</v>
      </c>
      <c r="I85" t="e">
        <f>#N/A</f>
        <v>#N/A</v>
      </c>
      <c r="K85" t="e">
        <f>#N/A</f>
        <v>#N/A</v>
      </c>
      <c r="M85">
        <v>7.52</v>
      </c>
      <c r="N85" t="e">
        <f>#VALUE!</f>
        <v>#VALUE!</v>
      </c>
      <c r="O85">
        <v>4.55</v>
      </c>
      <c r="P85" t="e">
        <f>#N/A</f>
        <v>#N/A</v>
      </c>
      <c r="Q85" t="e">
        <f>#VALUE!</f>
        <v>#VALUE!</v>
      </c>
      <c r="R85" t="s">
        <v>154</v>
      </c>
      <c r="S85" t="e">
        <f>#N/A</f>
        <v>#N/A</v>
      </c>
      <c r="T85" t="e">
        <f>#N/A</f>
        <v>#N/A</v>
      </c>
      <c r="U85">
        <v>229</v>
      </c>
      <c r="V85" t="e">
        <f>#N/A</f>
        <v>#N/A</v>
      </c>
      <c r="W85" t="e">
        <f>#N/A</f>
        <v>#N/A</v>
      </c>
    </row>
    <row r="86" spans="1:23" x14ac:dyDescent="0.35">
      <c r="A86" t="s">
        <v>198</v>
      </c>
      <c r="B86" t="s">
        <v>199</v>
      </c>
      <c r="C86" t="s">
        <v>29</v>
      </c>
      <c r="D86">
        <v>5380</v>
      </c>
      <c r="E86">
        <v>1098</v>
      </c>
      <c r="F86">
        <v>931</v>
      </c>
      <c r="G86">
        <v>4.8</v>
      </c>
      <c r="H86">
        <v>23.3</v>
      </c>
      <c r="I86">
        <v>902.5</v>
      </c>
      <c r="K86">
        <v>902.5</v>
      </c>
      <c r="M86">
        <v>7.52</v>
      </c>
      <c r="N86">
        <v>104.27</v>
      </c>
      <c r="O86">
        <v>4.55</v>
      </c>
      <c r="P86">
        <v>786.1</v>
      </c>
      <c r="Q86">
        <v>597.99</v>
      </c>
      <c r="R86">
        <v>5</v>
      </c>
      <c r="S86">
        <v>188.1</v>
      </c>
      <c r="T86" s="2">
        <v>0.20849999999999999</v>
      </c>
      <c r="U86">
        <v>229</v>
      </c>
      <c r="V86">
        <v>-40.9</v>
      </c>
      <c r="W86" s="2">
        <v>-4.53E-2</v>
      </c>
    </row>
    <row r="87" spans="1:23" x14ac:dyDescent="0.35">
      <c r="A87" t="s">
        <v>186</v>
      </c>
      <c r="B87" t="s">
        <v>187</v>
      </c>
      <c r="C87" t="s">
        <v>186</v>
      </c>
      <c r="D87" t="e">
        <f>#N/A</f>
        <v>#N/A</v>
      </c>
      <c r="E87">
        <v>200</v>
      </c>
      <c r="F87">
        <v>169</v>
      </c>
      <c r="G87">
        <v>4.8</v>
      </c>
      <c r="H87" t="e">
        <f>#N/A</f>
        <v>#N/A</v>
      </c>
      <c r="I87" t="e">
        <f>#N/A</f>
        <v>#N/A</v>
      </c>
      <c r="K87" t="e">
        <f>#N/A</f>
        <v>#N/A</v>
      </c>
      <c r="M87">
        <v>7.52</v>
      </c>
      <c r="N87" t="e">
        <f>#VALUE!</f>
        <v>#VALUE!</v>
      </c>
      <c r="O87">
        <v>4.55</v>
      </c>
      <c r="P87" t="e">
        <f>#N/A</f>
        <v>#N/A</v>
      </c>
      <c r="Q87" t="e">
        <f>#VALUE!</f>
        <v>#VALUE!</v>
      </c>
      <c r="R87" t="s">
        <v>154</v>
      </c>
      <c r="S87" t="e">
        <f>#N/A</f>
        <v>#N/A</v>
      </c>
      <c r="T87" t="e">
        <f>#N/A</f>
        <v>#N/A</v>
      </c>
      <c r="U87">
        <v>229</v>
      </c>
      <c r="V87" t="e">
        <f>#N/A</f>
        <v>#N/A</v>
      </c>
      <c r="W87" t="e">
        <f>#N/A</f>
        <v>#N/A</v>
      </c>
    </row>
    <row r="88" spans="1:23" x14ac:dyDescent="0.35">
      <c r="A88" t="s">
        <v>188</v>
      </c>
      <c r="B88" t="s">
        <v>189</v>
      </c>
      <c r="C88" t="s">
        <v>188</v>
      </c>
      <c r="D88" t="e">
        <f>#N/A</f>
        <v>#N/A</v>
      </c>
      <c r="E88">
        <v>200</v>
      </c>
      <c r="F88">
        <v>169</v>
      </c>
      <c r="G88">
        <v>4.8</v>
      </c>
      <c r="H88" t="e">
        <f>#N/A</f>
        <v>#N/A</v>
      </c>
      <c r="I88" t="e">
        <f>#N/A</f>
        <v>#N/A</v>
      </c>
      <c r="K88" t="e">
        <f>#N/A</f>
        <v>#N/A</v>
      </c>
      <c r="M88">
        <v>7.52</v>
      </c>
      <c r="N88" t="e">
        <f>#VALUE!</f>
        <v>#VALUE!</v>
      </c>
      <c r="O88">
        <v>4.55</v>
      </c>
      <c r="P88" t="e">
        <f>#N/A</f>
        <v>#N/A</v>
      </c>
      <c r="Q88" t="e">
        <f>#VALUE!</f>
        <v>#VALUE!</v>
      </c>
      <c r="R88" t="s">
        <v>154</v>
      </c>
      <c r="S88" t="e">
        <f>#N/A</f>
        <v>#N/A</v>
      </c>
      <c r="T88" t="e">
        <f>#N/A</f>
        <v>#N/A</v>
      </c>
      <c r="U88">
        <v>229</v>
      </c>
      <c r="V88" t="e">
        <f>#N/A</f>
        <v>#N/A</v>
      </c>
      <c r="W88" t="e">
        <f>#N/A</f>
        <v>#N/A</v>
      </c>
    </row>
    <row r="89" spans="1:23" x14ac:dyDescent="0.35">
      <c r="A89" t="s">
        <v>126</v>
      </c>
      <c r="B89" t="s">
        <v>190</v>
      </c>
      <c r="C89" t="s">
        <v>126</v>
      </c>
      <c r="D89" t="e">
        <f>#N/A</f>
        <v>#N/A</v>
      </c>
      <c r="E89">
        <v>399</v>
      </c>
      <c r="F89">
        <v>338</v>
      </c>
      <c r="G89">
        <v>4.8</v>
      </c>
      <c r="H89" t="e">
        <f>#N/A</f>
        <v>#N/A</v>
      </c>
      <c r="I89" t="e">
        <f>#N/A</f>
        <v>#N/A</v>
      </c>
      <c r="K89" t="e">
        <f>#N/A</f>
        <v>#N/A</v>
      </c>
      <c r="M89">
        <v>7.52</v>
      </c>
      <c r="N89" t="e">
        <f>#VALUE!</f>
        <v>#VALUE!</v>
      </c>
      <c r="O89">
        <v>4.55</v>
      </c>
      <c r="P89" t="e">
        <f>#N/A</f>
        <v>#N/A</v>
      </c>
      <c r="Q89" t="e">
        <f>#VALUE!</f>
        <v>#VALUE!</v>
      </c>
      <c r="R89" t="s">
        <v>154</v>
      </c>
      <c r="S89" t="e">
        <f>#N/A</f>
        <v>#N/A</v>
      </c>
      <c r="T89" t="e">
        <f>#N/A</f>
        <v>#N/A</v>
      </c>
      <c r="U89">
        <v>229</v>
      </c>
      <c r="V89" t="e">
        <f>#N/A</f>
        <v>#N/A</v>
      </c>
      <c r="W89" t="e">
        <f>#N/A</f>
        <v>#N/A</v>
      </c>
    </row>
    <row r="90" spans="1:23" x14ac:dyDescent="0.35">
      <c r="A90" t="s">
        <v>126</v>
      </c>
      <c r="B90" t="s">
        <v>191</v>
      </c>
      <c r="C90" t="s">
        <v>126</v>
      </c>
      <c r="D90" t="e">
        <f>#N/A</f>
        <v>#N/A</v>
      </c>
      <c r="E90">
        <v>3990</v>
      </c>
      <c r="F90">
        <v>3381</v>
      </c>
      <c r="G90">
        <v>4.8</v>
      </c>
      <c r="H90" t="e">
        <f>#N/A</f>
        <v>#N/A</v>
      </c>
      <c r="I90" t="e">
        <f>#N/A</f>
        <v>#N/A</v>
      </c>
      <c r="K90" t="e">
        <f>#N/A</f>
        <v>#N/A</v>
      </c>
      <c r="M90">
        <v>7.52</v>
      </c>
      <c r="N90" t="e">
        <f>#VALUE!</f>
        <v>#VALUE!</v>
      </c>
      <c r="O90">
        <v>4.55</v>
      </c>
      <c r="P90" t="e">
        <f>#N/A</f>
        <v>#N/A</v>
      </c>
      <c r="Q90" t="e">
        <f>#VALUE!</f>
        <v>#VALUE!</v>
      </c>
      <c r="R90" t="s">
        <v>154</v>
      </c>
      <c r="S90" t="e">
        <f>#N/A</f>
        <v>#N/A</v>
      </c>
      <c r="T90" t="e">
        <f>#N/A</f>
        <v>#N/A</v>
      </c>
      <c r="U90">
        <v>229</v>
      </c>
      <c r="V90" t="e">
        <f>#N/A</f>
        <v>#N/A</v>
      </c>
      <c r="W90" t="e">
        <f>#N/A</f>
        <v>#N/A</v>
      </c>
    </row>
    <row r="91" spans="1:23" x14ac:dyDescent="0.35">
      <c r="A91" t="s">
        <v>126</v>
      </c>
      <c r="B91" t="s">
        <v>192</v>
      </c>
      <c r="C91" t="s">
        <v>126</v>
      </c>
      <c r="D91" t="e">
        <f>#N/A</f>
        <v>#N/A</v>
      </c>
      <c r="E91">
        <v>1995</v>
      </c>
      <c r="F91">
        <v>1691</v>
      </c>
      <c r="G91">
        <v>4.8</v>
      </c>
      <c r="H91" t="e">
        <f>#N/A</f>
        <v>#N/A</v>
      </c>
      <c r="I91" t="e">
        <f>#N/A</f>
        <v>#N/A</v>
      </c>
      <c r="K91" t="e">
        <f>#N/A</f>
        <v>#N/A</v>
      </c>
      <c r="M91">
        <v>7.52</v>
      </c>
      <c r="N91" t="e">
        <f>#VALUE!</f>
        <v>#VALUE!</v>
      </c>
      <c r="O91">
        <v>4.55</v>
      </c>
      <c r="P91" t="e">
        <f>#N/A</f>
        <v>#N/A</v>
      </c>
      <c r="Q91" t="e">
        <f>#VALUE!</f>
        <v>#VALUE!</v>
      </c>
      <c r="R91" t="s">
        <v>154</v>
      </c>
      <c r="S91" t="e">
        <f>#N/A</f>
        <v>#N/A</v>
      </c>
      <c r="T91" t="e">
        <f>#N/A</f>
        <v>#N/A</v>
      </c>
      <c r="U91">
        <v>229</v>
      </c>
      <c r="V91" t="e">
        <f>#N/A</f>
        <v>#N/A</v>
      </c>
      <c r="W91" t="e">
        <f>#N/A</f>
        <v>#N/A</v>
      </c>
    </row>
    <row r="92" spans="1:23" x14ac:dyDescent="0.35">
      <c r="A92" t="s">
        <v>193</v>
      </c>
      <c r="B92" t="s">
        <v>194</v>
      </c>
      <c r="C92" t="s">
        <v>195</v>
      </c>
      <c r="D92">
        <v>0</v>
      </c>
      <c r="E92" t="s">
        <v>154</v>
      </c>
      <c r="F92" t="s">
        <v>154</v>
      </c>
      <c r="G92">
        <v>4.8</v>
      </c>
      <c r="H92" t="e">
        <f>#N/A</f>
        <v>#N/A</v>
      </c>
      <c r="I92" t="e">
        <f>#N/A</f>
        <v>#N/A</v>
      </c>
      <c r="K92" t="e">
        <f>#N/A</f>
        <v>#N/A</v>
      </c>
      <c r="M92">
        <v>7.52</v>
      </c>
      <c r="N92" t="e">
        <f>#VALUE!</f>
        <v>#VALUE!</v>
      </c>
      <c r="O92">
        <v>4.55</v>
      </c>
      <c r="P92" t="e">
        <f>#N/A</f>
        <v>#N/A</v>
      </c>
      <c r="Q92">
        <v>69.349999999999994</v>
      </c>
      <c r="R92">
        <v>1511</v>
      </c>
      <c r="S92" t="e">
        <f>#N/A</f>
        <v>#N/A</v>
      </c>
      <c r="T92" t="e">
        <f>#N/A</f>
        <v>#N/A</v>
      </c>
      <c r="U92">
        <v>229</v>
      </c>
      <c r="V92" t="e">
        <f>#N/A</f>
        <v>#N/A</v>
      </c>
      <c r="W92" t="e">
        <f>#N/A</f>
        <v>#N/A</v>
      </c>
    </row>
    <row r="93" spans="1:23" x14ac:dyDescent="0.35">
      <c r="A93" t="s">
        <v>196</v>
      </c>
      <c r="B93" t="s">
        <v>197</v>
      </c>
      <c r="C93" t="s">
        <v>29</v>
      </c>
      <c r="D93">
        <v>978</v>
      </c>
      <c r="E93">
        <v>998</v>
      </c>
      <c r="F93">
        <v>846</v>
      </c>
      <c r="G93">
        <v>4.8</v>
      </c>
      <c r="H93">
        <v>20.6</v>
      </c>
      <c r="I93">
        <v>820.4</v>
      </c>
      <c r="K93">
        <v>820.4</v>
      </c>
      <c r="M93">
        <v>7.52</v>
      </c>
      <c r="N93">
        <v>62.79</v>
      </c>
      <c r="O93">
        <v>4.55</v>
      </c>
      <c r="P93">
        <v>745.5</v>
      </c>
      <c r="Q93">
        <v>1494.97</v>
      </c>
      <c r="R93">
        <v>1</v>
      </c>
      <c r="S93">
        <v>-749.4</v>
      </c>
      <c r="T93" s="2">
        <v>-0.91349999999999998</v>
      </c>
      <c r="U93">
        <v>229</v>
      </c>
      <c r="V93">
        <v>-978.4</v>
      </c>
      <c r="W93" s="2">
        <v>-1.1926000000000001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81"/>
  <sheetViews>
    <sheetView showGridLines="0" zoomScaleNormal="100" workbookViewId="0">
      <pane ySplit="5" topLeftCell="A83" activePane="bottomLeft" state="frozen"/>
      <selection pane="bottomLeft" activeCell="A83" sqref="A83:XFD93"/>
    </sheetView>
  </sheetViews>
  <sheetFormatPr defaultColWidth="8.6328125" defaultRowHeight="14.5" x14ac:dyDescent="0.35"/>
  <cols>
    <col min="1" max="1" width="52" customWidth="1"/>
    <col min="2" max="3" width="12" customWidth="1"/>
    <col min="4" max="4" width="14" customWidth="1"/>
    <col min="5" max="5" width="13" customWidth="1"/>
    <col min="6" max="6" width="10" customWidth="1"/>
    <col min="7" max="7" width="16" customWidth="1"/>
    <col min="8" max="8" width="20" customWidth="1"/>
    <col min="9" max="9" width="16" customWidth="1"/>
  </cols>
  <sheetData>
    <row r="1" spans="1:9" ht="18" x14ac:dyDescent="0.4">
      <c r="A1" s="4" t="s">
        <v>200</v>
      </c>
    </row>
    <row r="2" spans="1:9" x14ac:dyDescent="0.35">
      <c r="A2" s="5"/>
    </row>
    <row r="3" spans="1:9" x14ac:dyDescent="0.35">
      <c r="A3" s="6" t="s">
        <v>201</v>
      </c>
      <c r="D3" s="7">
        <v>650</v>
      </c>
      <c r="E3" s="5"/>
    </row>
    <row r="5" spans="1:9" ht="31.5" customHeight="1" x14ac:dyDescent="0.35">
      <c r="A5" s="18" t="s">
        <v>202</v>
      </c>
      <c r="B5" s="18" t="s">
        <v>203</v>
      </c>
      <c r="C5" s="18" t="s">
        <v>204</v>
      </c>
      <c r="D5" s="18" t="s">
        <v>205</v>
      </c>
      <c r="E5" s="18" t="s">
        <v>206</v>
      </c>
      <c r="F5" s="18" t="s">
        <v>207</v>
      </c>
      <c r="G5" s="18" t="s">
        <v>208</v>
      </c>
      <c r="H5" s="18" t="s">
        <v>209</v>
      </c>
      <c r="I5" s="18" t="s">
        <v>210</v>
      </c>
    </row>
    <row r="6" spans="1:9" x14ac:dyDescent="0.35">
      <c r="A6" s="8" t="str">
        <f>'Jan-Mar Unit cost Economic'!B2</f>
        <v>Magic Paint Dust – Baby’s First Painting Kit</v>
      </c>
      <c r="B6" s="9">
        <f>IF(ISNUMBER('Jan-Mar Unit cost Economic'!E2),'Jan-Mar Unit cost Economic'!E2,"n/a")</f>
        <v>899</v>
      </c>
      <c r="C6" s="10">
        <f>IFERROR(N('Jan-Mar Unit cost Economic'!R2),0)</f>
        <v>500</v>
      </c>
      <c r="D6" s="9">
        <f>IFERROR(N('Jan-Mar Unit cost Economic'!D2),0)</f>
        <v>449500</v>
      </c>
      <c r="E6" s="9">
        <f>ROUND(IFERROR(N('Jan-Mar Unit cost Economic'!K2),0),0)</f>
        <v>617</v>
      </c>
      <c r="F6" s="11">
        <f t="shared" ref="F6:F37" si="0">IFERROR(E6/(D6/C6),0)</f>
        <v>0.68631813125695218</v>
      </c>
      <c r="G6" s="9">
        <f>ROUND(IFERROR(N('Jan-Mar Unit cost Economic'!N2),0),0)</f>
        <v>139</v>
      </c>
      <c r="H6" s="12">
        <f t="shared" ref="H6:H37" si="1">ROUND(E6-$D$3-G6,0)</f>
        <v>-172</v>
      </c>
      <c r="I6" s="12">
        <f t="shared" ref="I6:I37" si="2">ROUND(H6*C6,0)</f>
        <v>-86000</v>
      </c>
    </row>
    <row r="7" spans="1:9" x14ac:dyDescent="0.35">
      <c r="A7" s="8" t="str">
        <f>'Jan-Mar Unit cost Economic'!B3</f>
        <v>dabble Sensory Playdough</v>
      </c>
      <c r="B7" s="9">
        <f>IF(ISNUMBER('Jan-Mar Unit cost Economic'!E3),'Jan-Mar Unit cost Economic'!E3,"n/a")</f>
        <v>899</v>
      </c>
      <c r="C7" s="10">
        <f>IFERROR(N('Jan-Mar Unit cost Economic'!R3),0)</f>
        <v>296</v>
      </c>
      <c r="D7" s="9">
        <f>IFERROR(N('Jan-Mar Unit cost Economic'!D3),0)</f>
        <v>266104</v>
      </c>
      <c r="E7" s="9">
        <f>ROUND(IFERROR(N('Jan-Mar Unit cost Economic'!K3),0),0)</f>
        <v>617</v>
      </c>
      <c r="F7" s="11">
        <f t="shared" si="0"/>
        <v>0.68631813125695218</v>
      </c>
      <c r="G7" s="9">
        <f>ROUND(IFERROR(N('Jan-Mar Unit cost Economic'!N3),0),0)</f>
        <v>122</v>
      </c>
      <c r="H7" s="12">
        <f t="shared" si="1"/>
        <v>-155</v>
      </c>
      <c r="I7" s="12">
        <f t="shared" si="2"/>
        <v>-45880</v>
      </c>
    </row>
    <row r="8" spans="1:9" x14ac:dyDescent="0.35">
      <c r="A8" s="8" t="str">
        <f>'Jan-Mar Unit cost Economic'!B4</f>
        <v>Dabble Finger Painting Fun Pack</v>
      </c>
      <c r="B8" s="9">
        <f>IF(ISNUMBER('Jan-Mar Unit cost Economic'!E4),'Jan-Mar Unit cost Economic'!E4,"n/a")</f>
        <v>1348</v>
      </c>
      <c r="C8" s="10">
        <f>IFERROR(N('Jan-Mar Unit cost Economic'!R4),0)</f>
        <v>113</v>
      </c>
      <c r="D8" s="9">
        <f>IFERROR(N('Jan-Mar Unit cost Economic'!D4),0)</f>
        <v>144640</v>
      </c>
      <c r="E8" s="9">
        <f>ROUND(IFERROR(N('Jan-Mar Unit cost Economic'!K4),0),0)</f>
        <v>873</v>
      </c>
      <c r="F8" s="11">
        <f t="shared" si="0"/>
        <v>0.68203124999999998</v>
      </c>
      <c r="G8" s="9">
        <f>ROUND(IFERROR(N('Jan-Mar Unit cost Economic'!N4),0),0)</f>
        <v>240</v>
      </c>
      <c r="H8" s="12">
        <f t="shared" si="1"/>
        <v>-17</v>
      </c>
      <c r="I8" s="12">
        <f t="shared" si="2"/>
        <v>-1921</v>
      </c>
    </row>
    <row r="9" spans="1:9" x14ac:dyDescent="0.35">
      <c r="A9" s="8" t="str">
        <f>'Jan-Mar Unit cost Economic'!B5</f>
        <v>Babyâ€™s first handprint and footprint kit</v>
      </c>
      <c r="B9" s="9">
        <f>IF(ISNUMBER('Jan-Mar Unit cost Economic'!E5),'Jan-Mar Unit cost Economic'!E5,"n/a")</f>
        <v>649</v>
      </c>
      <c r="C9" s="10">
        <f>IFERROR(N('Jan-Mar Unit cost Economic'!R5),0)</f>
        <v>218</v>
      </c>
      <c r="D9" s="9">
        <f>IFERROR(N('Jan-Mar Unit cost Economic'!D5),0)</f>
        <v>141482</v>
      </c>
      <c r="E9" s="9">
        <f>ROUND(IFERROR(N('Jan-Mar Unit cost Economic'!K5),0),0)</f>
        <v>467</v>
      </c>
      <c r="F9" s="11">
        <f t="shared" si="0"/>
        <v>0.71956856702619409</v>
      </c>
      <c r="G9" s="9">
        <f>ROUND(IFERROR(N('Jan-Mar Unit cost Economic'!N5),0),0)</f>
        <v>149</v>
      </c>
      <c r="H9" s="12">
        <f t="shared" si="1"/>
        <v>-332</v>
      </c>
      <c r="I9" s="12">
        <f t="shared" si="2"/>
        <v>-72376</v>
      </c>
    </row>
    <row r="10" spans="1:9" x14ac:dyDescent="0.35">
      <c r="A10" s="8" t="str">
        <f>'Jan-Mar Unit cost Economic'!B6</f>
        <v>Mini Starter Finger Painting Fun Pack</v>
      </c>
      <c r="B10" s="9">
        <f>IF(ISNUMBER('Jan-Mar Unit cost Economic'!E6),'Jan-Mar Unit cost Economic'!E6,"n/a")</f>
        <v>599</v>
      </c>
      <c r="C10" s="10">
        <f>IFERROR(N('Jan-Mar Unit cost Economic'!R6),0)</f>
        <v>228</v>
      </c>
      <c r="D10" s="9">
        <f>IFERROR(N('Jan-Mar Unit cost Economic'!D6),0)</f>
        <v>136572</v>
      </c>
      <c r="E10" s="9">
        <f>ROUND(IFERROR(N('Jan-Mar Unit cost Economic'!K6),0),0)</f>
        <v>405</v>
      </c>
      <c r="F10" s="11">
        <f t="shared" si="0"/>
        <v>0.67612687813021699</v>
      </c>
      <c r="G10" s="9">
        <f>ROUND(IFERROR(N('Jan-Mar Unit cost Economic'!N6),0),0)</f>
        <v>165</v>
      </c>
      <c r="H10" s="12">
        <f t="shared" si="1"/>
        <v>-410</v>
      </c>
      <c r="I10" s="12">
        <f t="shared" si="2"/>
        <v>-93480</v>
      </c>
    </row>
    <row r="11" spans="1:9" x14ac:dyDescent="0.35">
      <c r="A11" s="8" t="str">
        <f>'Jan-Mar Unit cost Economic'!B7</f>
        <v>Babyâ€™s Starter Painting + Jumbo Brush Combo Kit</v>
      </c>
      <c r="B11" s="9">
        <f>IF(ISNUMBER('Jan-Mar Unit cost Economic'!E7),'Jan-Mar Unit cost Economic'!E7,"n/a")</f>
        <v>1098</v>
      </c>
      <c r="C11" s="10">
        <f>IFERROR(N('Jan-Mar Unit cost Economic'!R7),0)</f>
        <v>107</v>
      </c>
      <c r="D11" s="9">
        <f>IFERROR(N('Jan-Mar Unit cost Economic'!D7),0)</f>
        <v>111601</v>
      </c>
      <c r="E11" s="9">
        <f>ROUND(IFERROR(N('Jan-Mar Unit cost Economic'!K7),0),0)</f>
        <v>793</v>
      </c>
      <c r="F11" s="11">
        <f t="shared" si="0"/>
        <v>0.7603068072866731</v>
      </c>
      <c r="G11" s="9">
        <f>ROUND(IFERROR(N('Jan-Mar Unit cost Economic'!N7),0),0)</f>
        <v>150</v>
      </c>
      <c r="H11" s="12">
        <f t="shared" si="1"/>
        <v>-7</v>
      </c>
      <c r="I11" s="12">
        <f t="shared" si="2"/>
        <v>-749</v>
      </c>
    </row>
    <row r="12" spans="1:9" x14ac:dyDescent="0.35">
      <c r="A12" s="8" t="str">
        <f>'Jan-Mar Unit cost Economic'!B8</f>
        <v>Dabble Playart Chunkies</v>
      </c>
      <c r="B12" s="9">
        <f>IF(ISNUMBER('Jan-Mar Unit cost Economic'!E8),'Jan-Mar Unit cost Economic'!E8,"n/a")</f>
        <v>549</v>
      </c>
      <c r="C12" s="10">
        <f>IFERROR(N('Jan-Mar Unit cost Economic'!R8),0)</f>
        <v>164</v>
      </c>
      <c r="D12" s="9">
        <f>IFERROR(N('Jan-Mar Unit cost Economic'!D8),0)</f>
        <v>96426</v>
      </c>
      <c r="E12" s="9">
        <f>ROUND(IFERROR(N('Jan-Mar Unit cost Economic'!K8),0),0)</f>
        <v>384</v>
      </c>
      <c r="F12" s="11">
        <f t="shared" si="0"/>
        <v>0.65310186049405761</v>
      </c>
      <c r="G12" s="9">
        <f>ROUND(IFERROR(N('Jan-Mar Unit cost Economic'!N8),0),0)</f>
        <v>105</v>
      </c>
      <c r="H12" s="12">
        <f t="shared" si="1"/>
        <v>-371</v>
      </c>
      <c r="I12" s="12">
        <f t="shared" si="2"/>
        <v>-60844</v>
      </c>
    </row>
    <row r="13" spans="1:9" x14ac:dyDescent="0.35">
      <c r="A13" s="8" t="str">
        <f>'Jan-Mar Unit cost Economic'!B9</f>
        <v>Little Artist Combo Kit</v>
      </c>
      <c r="B13" s="9">
        <f>IF(ISNUMBER('Jan-Mar Unit cost Economic'!E9),'Jan-Mar Unit cost Economic'!E9,"n/a")</f>
        <v>1797</v>
      </c>
      <c r="C13" s="10">
        <f>IFERROR(N('Jan-Mar Unit cost Economic'!R9),0)</f>
        <v>41</v>
      </c>
      <c r="D13" s="9">
        <f>IFERROR(N('Jan-Mar Unit cost Economic'!D9),0)</f>
        <v>69987</v>
      </c>
      <c r="E13" s="9">
        <f>ROUND(IFERROR(N('Jan-Mar Unit cost Economic'!K9),0),0)</f>
        <v>1221</v>
      </c>
      <c r="F13" s="11">
        <f t="shared" si="0"/>
        <v>0.7152899824253075</v>
      </c>
      <c r="G13" s="9">
        <f>ROUND(IFERROR(N('Jan-Mar Unit cost Economic'!N9),0),0)</f>
        <v>249</v>
      </c>
      <c r="H13" s="12">
        <f t="shared" si="1"/>
        <v>322</v>
      </c>
      <c r="I13" s="12">
        <f t="shared" si="2"/>
        <v>13202</v>
      </c>
    </row>
    <row r="14" spans="1:9" x14ac:dyDescent="0.35">
      <c r="A14" s="8" t="str">
        <f>'Jan-Mar Unit cost Economic'!B10</f>
        <v>Dabble Starter Painting + Chubby Brush Combo Kit</v>
      </c>
      <c r="B14" s="9">
        <f>IF(ISNUMBER('Jan-Mar Unit cost Economic'!E10),'Jan-Mar Unit cost Economic'!E10,"n/a")</f>
        <v>1048</v>
      </c>
      <c r="C14" s="10">
        <f>IFERROR(N('Jan-Mar Unit cost Economic'!R10),0)</f>
        <v>68</v>
      </c>
      <c r="D14" s="9">
        <f>IFERROR(N('Jan-Mar Unit cost Economic'!D10),0)</f>
        <v>67660</v>
      </c>
      <c r="E14" s="9">
        <f>ROUND(IFERROR(N('Jan-Mar Unit cost Economic'!K10),0),0)</f>
        <v>701</v>
      </c>
      <c r="F14" s="11">
        <f t="shared" si="0"/>
        <v>0.7045226130653266</v>
      </c>
      <c r="G14" s="9">
        <f>ROUND(IFERROR(N('Jan-Mar Unit cost Economic'!N10),0),0)</f>
        <v>152</v>
      </c>
      <c r="H14" s="12">
        <f t="shared" si="1"/>
        <v>-101</v>
      </c>
      <c r="I14" s="12">
        <f t="shared" si="2"/>
        <v>-6868</v>
      </c>
    </row>
    <row r="15" spans="1:9" x14ac:dyDescent="0.35">
      <c r="A15" s="8" t="str">
        <f>'Jan-Mar Unit cost Economic'!B11</f>
        <v>Dabble Finger Paints For Toddlers</v>
      </c>
      <c r="B15" s="9">
        <f>IF(ISNUMBER('Jan-Mar Unit cost Economic'!E11),'Jan-Mar Unit cost Economic'!E11,"n/a")</f>
        <v>649</v>
      </c>
      <c r="C15" s="10">
        <f>IFERROR(N('Jan-Mar Unit cost Economic'!R11),0)</f>
        <v>104</v>
      </c>
      <c r="D15" s="9">
        <f>IFERROR(N('Jan-Mar Unit cost Economic'!D11),0)</f>
        <v>67496</v>
      </c>
      <c r="E15" s="9">
        <f>ROUND(IFERROR(N('Jan-Mar Unit cost Economic'!K11),0),0)</f>
        <v>472</v>
      </c>
      <c r="F15" s="11">
        <f t="shared" si="0"/>
        <v>0.72727272727272729</v>
      </c>
      <c r="G15" s="9">
        <f>ROUND(IFERROR(N('Jan-Mar Unit cost Economic'!N11),0),0)</f>
        <v>139</v>
      </c>
      <c r="H15" s="12">
        <f t="shared" si="1"/>
        <v>-317</v>
      </c>
      <c r="I15" s="12">
        <f t="shared" si="2"/>
        <v>-32968</v>
      </c>
    </row>
    <row r="16" spans="1:9" x14ac:dyDescent="0.35">
      <c r="A16" s="8" t="str">
        <f>'Jan-Mar Unit cost Economic'!B12</f>
        <v>Dabble Art Roll</v>
      </c>
      <c r="B16" s="9">
        <f>IF(ISNUMBER('Jan-Mar Unit cost Economic'!E12),'Jan-Mar Unit cost Economic'!E12,"n/a")</f>
        <v>699</v>
      </c>
      <c r="C16" s="10">
        <f>IFERROR(N('Jan-Mar Unit cost Economic'!R12),0)</f>
        <v>91</v>
      </c>
      <c r="D16" s="9">
        <f>IFERROR(N('Jan-Mar Unit cost Economic'!D12),0)</f>
        <v>63609</v>
      </c>
      <c r="E16" s="9">
        <f>ROUND(IFERROR(N('Jan-Mar Unit cost Economic'!K12),0),0)</f>
        <v>442</v>
      </c>
      <c r="F16" s="11">
        <f t="shared" si="0"/>
        <v>0.63233190271816886</v>
      </c>
      <c r="G16" s="9">
        <f>ROUND(IFERROR(N('Jan-Mar Unit cost Economic'!N12),0),0)</f>
        <v>187</v>
      </c>
      <c r="H16" s="12">
        <f t="shared" si="1"/>
        <v>-395</v>
      </c>
      <c r="I16" s="12">
        <f t="shared" si="2"/>
        <v>-35945</v>
      </c>
    </row>
    <row r="17" spans="1:9" x14ac:dyDescent="0.35">
      <c r="A17" s="8" t="str">
        <f>'Jan-Mar Unit cost Economic'!B13</f>
        <v>Magic Paint Dust + Jumbo Brush Combo Kit â€“ Babyâ€™s First Painting Kit</v>
      </c>
      <c r="B17" s="9">
        <f>IF(ISNUMBER('Jan-Mar Unit cost Economic'!E13),'Jan-Mar Unit cost Economic'!E13,"n/a")</f>
        <v>1398</v>
      </c>
      <c r="C17" s="10">
        <f>IFERROR(N('Jan-Mar Unit cost Economic'!R13),0)</f>
        <v>45</v>
      </c>
      <c r="D17" s="9">
        <f>IFERROR(N('Jan-Mar Unit cost Economic'!D13),0)</f>
        <v>59760</v>
      </c>
      <c r="E17" s="9">
        <f>ROUND(IFERROR(N('Jan-Mar Unit cost Economic'!K13),0),0)</f>
        <v>970</v>
      </c>
      <c r="F17" s="11">
        <f t="shared" si="0"/>
        <v>0.73042168674698793</v>
      </c>
      <c r="G17" s="9">
        <f>ROUND(IFERROR(N('Jan-Mar Unit cost Economic'!N13),0),0)</f>
        <v>176</v>
      </c>
      <c r="H17" s="12">
        <f t="shared" si="1"/>
        <v>144</v>
      </c>
      <c r="I17" s="12">
        <f t="shared" si="2"/>
        <v>6480</v>
      </c>
    </row>
    <row r="18" spans="1:9" x14ac:dyDescent="0.35">
      <c r="A18" s="8" t="str">
        <f>'Jan-Mar Unit cost Economic'!B14</f>
        <v>My First Dabble Swinginâ€™ Jungle Adventure + Crayons Combo</v>
      </c>
      <c r="B18" s="9">
        <f>IF(ISNUMBER('Jan-Mar Unit cost Economic'!E14),'Jan-Mar Unit cost Economic'!E14,"n/a")</f>
        <v>948</v>
      </c>
      <c r="C18" s="10">
        <f>IFERROR(N('Jan-Mar Unit cost Economic'!R14),0)</f>
        <v>64</v>
      </c>
      <c r="D18" s="9">
        <f>IFERROR(N('Jan-Mar Unit cost Economic'!D14),0)</f>
        <v>57600</v>
      </c>
      <c r="E18" s="9">
        <f>ROUND(IFERROR(N('Jan-Mar Unit cost Economic'!K14),0),0)</f>
        <v>636</v>
      </c>
      <c r="F18" s="11">
        <f t="shared" si="0"/>
        <v>0.70666666666666667</v>
      </c>
      <c r="G18" s="9">
        <f>ROUND(IFERROR(N('Jan-Mar Unit cost Economic'!N14),0),0)</f>
        <v>150</v>
      </c>
      <c r="H18" s="12">
        <f t="shared" si="1"/>
        <v>-164</v>
      </c>
      <c r="I18" s="12">
        <f t="shared" si="2"/>
        <v>-10496</v>
      </c>
    </row>
    <row r="19" spans="1:9" x14ac:dyDescent="0.35">
      <c r="A19" s="8" t="str">
        <f>'Jan-Mar Unit cost Economic'!B15</f>
        <v>Masterpiece Set</v>
      </c>
      <c r="B19" s="9">
        <f>IF(ISNUMBER('Jan-Mar Unit cost Economic'!E15),'Jan-Mar Unit cost Economic'!E15,"n/a")</f>
        <v>2047</v>
      </c>
      <c r="C19" s="10">
        <f>IFERROR(N('Jan-Mar Unit cost Economic'!R15),0)</f>
        <v>29</v>
      </c>
      <c r="D19" s="9">
        <f>IFERROR(N('Jan-Mar Unit cost Economic'!D15),0)</f>
        <v>56376</v>
      </c>
      <c r="E19" s="9">
        <f>ROUND(IFERROR(N('Jan-Mar Unit cost Economic'!K15),0),0)</f>
        <v>1359</v>
      </c>
      <c r="F19" s="11">
        <f t="shared" si="0"/>
        <v>0.69907407407407407</v>
      </c>
      <c r="G19" s="9">
        <f>ROUND(IFERROR(N('Jan-Mar Unit cost Economic'!N15),0),0)</f>
        <v>359</v>
      </c>
      <c r="H19" s="12">
        <f t="shared" si="1"/>
        <v>350</v>
      </c>
      <c r="I19" s="12">
        <f t="shared" si="2"/>
        <v>10150</v>
      </c>
    </row>
    <row r="20" spans="1:9" x14ac:dyDescent="0.35">
      <c r="A20" s="8" t="str">
        <f>'Jan-Mar Unit cost Economic'!B16</f>
        <v>Magic Paint Dust + PlayArt Roll â€“ Babyâ€™s First Painting Kit</v>
      </c>
      <c r="B20" s="9">
        <f>IF(ISNUMBER('Jan-Mar Unit cost Economic'!E16),'Jan-Mar Unit cost Economic'!E16,"n/a")</f>
        <v>1598</v>
      </c>
      <c r="C20" s="10">
        <f>IFERROR(N('Jan-Mar Unit cost Economic'!R16),0)</f>
        <v>32</v>
      </c>
      <c r="D20" s="9">
        <f>IFERROR(N('Jan-Mar Unit cost Economic'!D16),0)</f>
        <v>48576</v>
      </c>
      <c r="E20" s="9">
        <f>ROUND(IFERROR(N('Jan-Mar Unit cost Economic'!K16),0),0)</f>
        <v>1056</v>
      </c>
      <c r="F20" s="11">
        <f t="shared" si="0"/>
        <v>0.69565217391304346</v>
      </c>
      <c r="G20" s="9">
        <f>ROUND(IFERROR(N('Jan-Mar Unit cost Economic'!N16),0),0)</f>
        <v>284</v>
      </c>
      <c r="H20" s="12">
        <f t="shared" si="1"/>
        <v>122</v>
      </c>
      <c r="I20" s="12">
        <f t="shared" si="2"/>
        <v>3904</v>
      </c>
    </row>
    <row r="21" spans="1:9" x14ac:dyDescent="0.35">
      <c r="A21" s="8" t="str">
        <f>'Jan-Mar Unit cost Economic'!B17</f>
        <v>Baby's First Art Set</v>
      </c>
      <c r="B21" s="9">
        <f>IF(ISNUMBER('Jan-Mar Unit cost Economic'!E17),'Jan-Mar Unit cost Economic'!E17,"n/a")</f>
        <v>1248</v>
      </c>
      <c r="C21" s="10">
        <f>IFERROR(N('Jan-Mar Unit cost Economic'!R17),0)</f>
        <v>36</v>
      </c>
      <c r="D21" s="9">
        <f>IFERROR(N('Jan-Mar Unit cost Economic'!D17),0)</f>
        <v>46080</v>
      </c>
      <c r="E21" s="9">
        <f>ROUND(IFERROR(N('Jan-Mar Unit cost Economic'!K17),0),0)</f>
        <v>824</v>
      </c>
      <c r="F21" s="11">
        <f t="shared" si="0"/>
        <v>0.64375000000000004</v>
      </c>
      <c r="G21" s="9">
        <f>ROUND(IFERROR(N('Jan-Mar Unit cost Economic'!N17),0),0)</f>
        <v>208</v>
      </c>
      <c r="H21" s="12">
        <f t="shared" si="1"/>
        <v>-34</v>
      </c>
      <c r="I21" s="12">
        <f t="shared" si="2"/>
        <v>-1224</v>
      </c>
    </row>
    <row r="22" spans="1:9" x14ac:dyDescent="0.35">
      <c r="A22" s="8" t="str">
        <f>'Jan-Mar Unit cost Economic'!B18</f>
        <v>Dabble Reusable Colouring Pages Kit</v>
      </c>
      <c r="B22" s="9">
        <f>IF(ISNUMBER('Jan-Mar Unit cost Economic'!E18),'Jan-Mar Unit cost Economic'!E18,"n/a")</f>
        <v>399</v>
      </c>
      <c r="C22" s="10">
        <f>IFERROR(N('Jan-Mar Unit cost Economic'!R18),0)</f>
        <v>103</v>
      </c>
      <c r="D22" s="9">
        <f>IFERROR(N('Jan-Mar Unit cost Economic'!D18),0)</f>
        <v>40259.1</v>
      </c>
      <c r="E22" s="9">
        <f>ROUND(IFERROR(N('Jan-Mar Unit cost Economic'!K18),0),0)</f>
        <v>271</v>
      </c>
      <c r="F22" s="11">
        <f t="shared" si="0"/>
        <v>0.69333392947184613</v>
      </c>
      <c r="G22" s="9">
        <f>ROUND(IFERROR(N('Jan-Mar Unit cost Economic'!N18),0),0)</f>
        <v>45</v>
      </c>
      <c r="H22" s="12">
        <f t="shared" si="1"/>
        <v>-424</v>
      </c>
      <c r="I22" s="12">
        <f t="shared" si="2"/>
        <v>-43672</v>
      </c>
    </row>
    <row r="23" spans="1:9" x14ac:dyDescent="0.35">
      <c r="A23" s="8" t="str">
        <f>'Jan-Mar Unit cost Economic'!B19</f>
        <v>Dabble Painting Art Apron</v>
      </c>
      <c r="B23" s="9">
        <f>IF(ISNUMBER('Jan-Mar Unit cost Economic'!E19),'Jan-Mar Unit cost Economic'!E19,"n/a")</f>
        <v>799</v>
      </c>
      <c r="C23" s="10">
        <f>IFERROR(N('Jan-Mar Unit cost Economic'!R19),0)</f>
        <v>50</v>
      </c>
      <c r="D23" s="9">
        <f>IFERROR(N('Jan-Mar Unit cost Economic'!D19),0)</f>
        <v>39494.57</v>
      </c>
      <c r="E23" s="9">
        <f>ROUND(IFERROR(N('Jan-Mar Unit cost Economic'!K19),0),0)</f>
        <v>439</v>
      </c>
      <c r="F23" s="11">
        <f t="shared" si="0"/>
        <v>0.5557726036769105</v>
      </c>
      <c r="G23" s="9">
        <f>ROUND(IFERROR(N('Jan-Mar Unit cost Economic'!N19),0),0)</f>
        <v>113</v>
      </c>
      <c r="H23" s="12">
        <f t="shared" si="1"/>
        <v>-324</v>
      </c>
      <c r="I23" s="12">
        <f t="shared" si="2"/>
        <v>-16200</v>
      </c>
    </row>
    <row r="24" spans="1:9" x14ac:dyDescent="0.35">
      <c r="A24" s="8" t="str">
        <f>'Jan-Mar Unit cost Economic'!B20</f>
        <v>My Dabble ABC Trace &amp; Colour Kit | Multi-Sensory Alphabet Learning for Kids</v>
      </c>
      <c r="B24" s="9">
        <f>IF(ISNUMBER('Jan-Mar Unit cost Economic'!E20),'Jan-Mar Unit cost Economic'!E20,"n/a")</f>
        <v>699</v>
      </c>
      <c r="C24" s="10">
        <f>IFERROR(N('Jan-Mar Unit cost Economic'!R20),0)</f>
        <v>65</v>
      </c>
      <c r="D24" s="9">
        <f>IFERROR(N('Jan-Mar Unit cost Economic'!D20),0)</f>
        <v>36503</v>
      </c>
      <c r="E24" s="9">
        <f>ROUND(IFERROR(N('Jan-Mar Unit cost Economic'!K20),0),0)</f>
        <v>472</v>
      </c>
      <c r="F24" s="11">
        <f t="shared" si="0"/>
        <v>0.84047886475084232</v>
      </c>
      <c r="G24" s="9">
        <f>ROUND(IFERROR(N('Jan-Mar Unit cost Economic'!N20),0),0)</f>
        <v>0</v>
      </c>
      <c r="H24" s="12">
        <f t="shared" si="1"/>
        <v>-178</v>
      </c>
      <c r="I24" s="12">
        <f t="shared" si="2"/>
        <v>-11570</v>
      </c>
    </row>
    <row r="25" spans="1:9" x14ac:dyDescent="0.35">
      <c r="A25" s="8" t="str">
        <f>'Jan-Mar Unit cost Economic'!B21</f>
        <v>Dabble Playart Finger Paints</v>
      </c>
      <c r="B25" s="9">
        <f>IF(ISNUMBER('Jan-Mar Unit cost Economic'!E21),'Jan-Mar Unit cost Economic'!E21,"n/a")</f>
        <v>899</v>
      </c>
      <c r="C25" s="10">
        <f>IFERROR(N('Jan-Mar Unit cost Economic'!R21),0)</f>
        <v>38</v>
      </c>
      <c r="D25" s="9">
        <f>IFERROR(N('Jan-Mar Unit cost Economic'!D21),0)</f>
        <v>34162</v>
      </c>
      <c r="E25" s="9">
        <f>ROUND(IFERROR(N('Jan-Mar Unit cost Economic'!K21),0),0)</f>
        <v>624</v>
      </c>
      <c r="F25" s="11">
        <f t="shared" si="0"/>
        <v>0.69410456062291437</v>
      </c>
      <c r="G25" s="9">
        <f>ROUND(IFERROR(N('Jan-Mar Unit cost Economic'!N21),0),0)</f>
        <v>209</v>
      </c>
      <c r="H25" s="12">
        <f t="shared" si="1"/>
        <v>-235</v>
      </c>
      <c r="I25" s="12">
        <f t="shared" si="2"/>
        <v>-8930</v>
      </c>
    </row>
    <row r="26" spans="1:9" x14ac:dyDescent="0.35">
      <c r="A26" s="8" t="str">
        <f>'Jan-Mar Unit cost Economic'!B22</f>
        <v>Imagination Spark Kit | Dabble Sensory Play Dough + Magic Paint Dust</v>
      </c>
      <c r="B26" s="9">
        <f>IF(ISNUMBER('Jan-Mar Unit cost Economic'!E22),'Jan-Mar Unit cost Economic'!E22,"n/a")</f>
        <v>1798</v>
      </c>
      <c r="C26" s="10">
        <f>IFERROR(N('Jan-Mar Unit cost Economic'!R22),0)</f>
        <v>20</v>
      </c>
      <c r="D26" s="9">
        <f>IFERROR(N('Jan-Mar Unit cost Economic'!D22),0)</f>
        <v>34160</v>
      </c>
      <c r="E26" s="9">
        <f>ROUND(IFERROR(N('Jan-Mar Unit cost Economic'!K22),0),0)</f>
        <v>1228</v>
      </c>
      <c r="F26" s="11">
        <f t="shared" si="0"/>
        <v>0.71896955503512883</v>
      </c>
      <c r="G26" s="9">
        <f>ROUND(IFERROR(N('Jan-Mar Unit cost Economic'!N22),0),0)</f>
        <v>159</v>
      </c>
      <c r="H26" s="12">
        <f t="shared" si="1"/>
        <v>419</v>
      </c>
      <c r="I26" s="12">
        <f t="shared" si="2"/>
        <v>8380</v>
      </c>
    </row>
    <row r="27" spans="1:9" x14ac:dyDescent="0.35">
      <c r="A27" s="8" t="str">
        <f>'Jan-Mar Unit cost Economic'!B23</f>
        <v>Dabble Magic Bubbles POP n PLAY</v>
      </c>
      <c r="B27" s="9">
        <f>IF(ISNUMBER('Jan-Mar Unit cost Economic'!E23),'Jan-Mar Unit cost Economic'!E23,"n/a")</f>
        <v>449</v>
      </c>
      <c r="C27" s="10">
        <f>IFERROR(N('Jan-Mar Unit cost Economic'!R23),0)</f>
        <v>69</v>
      </c>
      <c r="D27" s="9">
        <f>IFERROR(N('Jan-Mar Unit cost Economic'!D23),0)</f>
        <v>30150.35</v>
      </c>
      <c r="E27" s="9">
        <f>ROUND(IFERROR(N('Jan-Mar Unit cost Economic'!K23),0),0)</f>
        <v>301</v>
      </c>
      <c r="F27" s="11">
        <f t="shared" si="0"/>
        <v>0.68884772481911494</v>
      </c>
      <c r="G27" s="9">
        <f>ROUND(IFERROR(N('Jan-Mar Unit cost Economic'!N23),0),0)</f>
        <v>37</v>
      </c>
      <c r="H27" s="12">
        <f t="shared" si="1"/>
        <v>-386</v>
      </c>
      <c r="I27" s="12">
        <f t="shared" si="2"/>
        <v>-26634</v>
      </c>
    </row>
    <row r="28" spans="1:9" x14ac:dyDescent="0.35">
      <c r="A28" s="8" t="str">
        <f>'Jan-Mar Unit cost Economic'!B24</f>
        <v>Dabble Starter Pack | Chunkies + Finger Paints + Art Roll</v>
      </c>
      <c r="B28" s="9">
        <f>IF(ISNUMBER('Jan-Mar Unit cost Economic'!E24),'Jan-Mar Unit cost Economic'!E24,"n/a")</f>
        <v>1897</v>
      </c>
      <c r="C28" s="10">
        <f>IFERROR(N('Jan-Mar Unit cost Economic'!R24),0)</f>
        <v>16</v>
      </c>
      <c r="D28" s="9">
        <f>IFERROR(N('Jan-Mar Unit cost Economic'!D24),0)</f>
        <v>28832</v>
      </c>
      <c r="E28" s="9">
        <f>ROUND(IFERROR(N('Jan-Mar Unit cost Economic'!K24),0),0)</f>
        <v>1307</v>
      </c>
      <c r="F28" s="11">
        <f t="shared" si="0"/>
        <v>0.72530521642619317</v>
      </c>
      <c r="G28" s="9">
        <f>ROUND(IFERROR(N('Jan-Mar Unit cost Economic'!N24),0),0)</f>
        <v>287</v>
      </c>
      <c r="H28" s="12">
        <f t="shared" si="1"/>
        <v>370</v>
      </c>
      <c r="I28" s="12">
        <f t="shared" si="2"/>
        <v>5920</v>
      </c>
    </row>
    <row r="29" spans="1:9" x14ac:dyDescent="0.35">
      <c r="A29" s="8" t="str">
        <f>'Jan-Mar Unit cost Economic'!B25</f>
        <v>Preschool Art and Craft Kit</v>
      </c>
      <c r="B29" s="9">
        <f>IF(ISNUMBER('Jan-Mar Unit cost Economic'!E25),'Jan-Mar Unit cost Economic'!E25,"n/a")</f>
        <v>599</v>
      </c>
      <c r="C29" s="10">
        <f>IFERROR(N('Jan-Mar Unit cost Economic'!R25),0)</f>
        <v>45</v>
      </c>
      <c r="D29" s="9">
        <f>IFERROR(N('Jan-Mar Unit cost Economic'!D25),0)</f>
        <v>26955</v>
      </c>
      <c r="E29" s="9">
        <f>ROUND(IFERROR(N('Jan-Mar Unit cost Economic'!K25),0),0)</f>
        <v>340</v>
      </c>
      <c r="F29" s="11">
        <f t="shared" si="0"/>
        <v>0.56761268781302165</v>
      </c>
      <c r="G29" s="9">
        <f>ROUND(IFERROR(N('Jan-Mar Unit cost Economic'!N25),0),0)</f>
        <v>141</v>
      </c>
      <c r="H29" s="12">
        <f t="shared" si="1"/>
        <v>-451</v>
      </c>
      <c r="I29" s="12">
        <f t="shared" si="2"/>
        <v>-20295</v>
      </c>
    </row>
    <row r="30" spans="1:9" x14ac:dyDescent="0.35">
      <c r="A30" s="8" t="str">
        <f>'Jan-Mar Unit cost Economic'!B26</f>
        <v>My First Dabble Swinginâ€™ Jungle Adventure + Mini Starter Fun Pack + Chubby Brushes Combo</v>
      </c>
      <c r="B30" s="9">
        <f>IF(ISNUMBER('Jan-Mar Unit cost Economic'!E26),'Jan-Mar Unit cost Economic'!E26,"n/a")</f>
        <v>1547</v>
      </c>
      <c r="C30" s="10">
        <f>IFERROR(N('Jan-Mar Unit cost Economic'!R26),0)</f>
        <v>18</v>
      </c>
      <c r="D30" s="9">
        <f>IFERROR(N('Jan-Mar Unit cost Economic'!D26),0)</f>
        <v>26442</v>
      </c>
      <c r="E30" s="9">
        <f>ROUND(IFERROR(N('Jan-Mar Unit cost Economic'!K26),0),0)</f>
        <v>1057</v>
      </c>
      <c r="F30" s="11">
        <f t="shared" si="0"/>
        <v>0.71953710006807348</v>
      </c>
      <c r="G30" s="9">
        <f>ROUND(IFERROR(N('Jan-Mar Unit cost Economic'!N26),0),0)</f>
        <v>175</v>
      </c>
      <c r="H30" s="12">
        <f t="shared" si="1"/>
        <v>232</v>
      </c>
      <c r="I30" s="12">
        <f t="shared" si="2"/>
        <v>4176</v>
      </c>
    </row>
    <row r="31" spans="1:9" x14ac:dyDescent="0.35">
      <c r="A31" s="8" t="str">
        <f>'Jan-Mar Unit cost Economic'!B27</f>
        <v>Dabble Playart Crayons</v>
      </c>
      <c r="B31" s="9">
        <f>IF(ISNUMBER('Jan-Mar Unit cost Economic'!E27),'Jan-Mar Unit cost Economic'!E27,"n/a")</f>
        <v>449</v>
      </c>
      <c r="C31" s="10">
        <f>IFERROR(N('Jan-Mar Unit cost Economic'!R27),0)</f>
        <v>58</v>
      </c>
      <c r="D31" s="9">
        <f>IFERROR(N('Jan-Mar Unit cost Economic'!D27),0)</f>
        <v>26042</v>
      </c>
      <c r="E31" s="9">
        <f>ROUND(IFERROR(N('Jan-Mar Unit cost Economic'!K27),0),0)</f>
        <v>306</v>
      </c>
      <c r="F31" s="11">
        <f t="shared" si="0"/>
        <v>0.68151447661469933</v>
      </c>
      <c r="G31" s="9">
        <f>ROUND(IFERROR(N('Jan-Mar Unit cost Economic'!N27),0),0)</f>
        <v>108</v>
      </c>
      <c r="H31" s="12">
        <f t="shared" si="1"/>
        <v>-452</v>
      </c>
      <c r="I31" s="12">
        <f t="shared" si="2"/>
        <v>-26216</v>
      </c>
    </row>
    <row r="32" spans="1:9" x14ac:dyDescent="0.35">
      <c r="A32" s="8" t="str">
        <f>'Jan-Mar Unit cost Economic'!B28</f>
        <v>Dabble Sensory Rice Play Kit</v>
      </c>
      <c r="B32" s="9">
        <f>IF(ISNUMBER('Jan-Mar Unit cost Economic'!E28),'Jan-Mar Unit cost Economic'!E28,"n/a")</f>
        <v>699</v>
      </c>
      <c r="C32" s="10">
        <f>IFERROR(N('Jan-Mar Unit cost Economic'!R28),0)</f>
        <v>37</v>
      </c>
      <c r="D32" s="9">
        <f>IFERROR(N('Jan-Mar Unit cost Economic'!D28),0)</f>
        <v>25863</v>
      </c>
      <c r="E32" s="9">
        <f>ROUND(IFERROR(N('Jan-Mar Unit cost Economic'!K28),0),0)</f>
        <v>490</v>
      </c>
      <c r="F32" s="11">
        <f t="shared" si="0"/>
        <v>0.70100143061516451</v>
      </c>
      <c r="G32" s="9">
        <f>ROUND(IFERROR(N('Jan-Mar Unit cost Economic'!N28),0),0)</f>
        <v>122</v>
      </c>
      <c r="H32" s="12">
        <f t="shared" si="1"/>
        <v>-282</v>
      </c>
      <c r="I32" s="12">
        <f t="shared" si="2"/>
        <v>-10434</v>
      </c>
    </row>
    <row r="33" spans="1:9" x14ac:dyDescent="0.35">
      <c r="A33" s="8" t="str">
        <f>'Jan-Mar Unit cost Economic'!B29</f>
        <v>My First Shape Explorer Stamp Kit</v>
      </c>
      <c r="B33" s="9">
        <f>IF(ISNUMBER('Jan-Mar Unit cost Economic'!E29),'Jan-Mar Unit cost Economic'!E29,"n/a")</f>
        <v>999</v>
      </c>
      <c r="C33" s="10">
        <f>IFERROR(N('Jan-Mar Unit cost Economic'!R29),0)</f>
        <v>25</v>
      </c>
      <c r="D33" s="9">
        <f>IFERROR(N('Jan-Mar Unit cost Economic'!D29),0)</f>
        <v>24975</v>
      </c>
      <c r="E33" s="9">
        <f>ROUND(IFERROR(N('Jan-Mar Unit cost Economic'!K29),0),0)</f>
        <v>549</v>
      </c>
      <c r="F33" s="11">
        <f t="shared" si="0"/>
        <v>0.5495495495495496</v>
      </c>
      <c r="G33" s="9">
        <f>ROUND(IFERROR(N('Jan-Mar Unit cost Economic'!N29),0),0)</f>
        <v>128</v>
      </c>
      <c r="H33" s="12">
        <f t="shared" si="1"/>
        <v>-229</v>
      </c>
      <c r="I33" s="12">
        <f t="shared" si="2"/>
        <v>-5725</v>
      </c>
    </row>
    <row r="34" spans="1:9" x14ac:dyDescent="0.35">
      <c r="A34" s="8" t="str">
        <f>'Jan-Mar Unit cost Economic'!B30</f>
        <v>Sensory Discovery Kit | Dabble Sensory Rice + Sensory Play Dough</v>
      </c>
      <c r="B34" s="9">
        <f>IF(ISNUMBER('Jan-Mar Unit cost Economic'!E30),'Jan-Mar Unit cost Economic'!E30,"n/a")</f>
        <v>1598</v>
      </c>
      <c r="C34" s="10">
        <f>IFERROR(N('Jan-Mar Unit cost Economic'!R30),0)</f>
        <v>15</v>
      </c>
      <c r="D34" s="9">
        <f>IFERROR(N('Jan-Mar Unit cost Economic'!D30),0)</f>
        <v>22770</v>
      </c>
      <c r="E34" s="9">
        <f>ROUND(IFERROR(N('Jan-Mar Unit cost Economic'!K30),0),0)</f>
        <v>1118</v>
      </c>
      <c r="F34" s="11">
        <f t="shared" si="0"/>
        <v>0.73649538866930175</v>
      </c>
      <c r="G34" s="9">
        <f>ROUND(IFERROR(N('Jan-Mar Unit cost Economic'!N30),0),0)</f>
        <v>221</v>
      </c>
      <c r="H34" s="12">
        <f t="shared" si="1"/>
        <v>247</v>
      </c>
      <c r="I34" s="12">
        <f t="shared" si="2"/>
        <v>3705</v>
      </c>
    </row>
    <row r="35" spans="1:9" x14ac:dyDescent="0.35">
      <c r="A35" s="8" t="str">
        <f>'Jan-Mar Unit cost Economic'!B31</f>
        <v>Toddler's First Painting Set | Finger Paints + Jumbo Brushes</v>
      </c>
      <c r="B35" s="9">
        <f>IF(ISNUMBER('Jan-Mar Unit cost Economic'!E31),'Jan-Mar Unit cost Economic'!E31,"n/a")</f>
        <v>1148</v>
      </c>
      <c r="C35" s="10">
        <f>IFERROR(N('Jan-Mar Unit cost Economic'!R31),0)</f>
        <v>20</v>
      </c>
      <c r="D35" s="9">
        <f>IFERROR(N('Jan-Mar Unit cost Economic'!D31),0)</f>
        <v>21800</v>
      </c>
      <c r="E35" s="9">
        <f>ROUND(IFERROR(N('Jan-Mar Unit cost Economic'!K31),0),0)</f>
        <v>815</v>
      </c>
      <c r="F35" s="11">
        <f t="shared" si="0"/>
        <v>0.74770642201834858</v>
      </c>
      <c r="G35" s="9">
        <f>ROUND(IFERROR(N('Jan-Mar Unit cost Economic'!N31),0),0)</f>
        <v>111</v>
      </c>
      <c r="H35" s="12">
        <f t="shared" si="1"/>
        <v>54</v>
      </c>
      <c r="I35" s="12">
        <f t="shared" si="2"/>
        <v>1080</v>
      </c>
    </row>
    <row r="36" spans="1:9" x14ac:dyDescent="0.35">
      <c r="A36" s="8" t="str">
        <f>'Jan-Mar Unit cost Economic'!B32</f>
        <v>Dabble DIY Sensory Playdough Kit</v>
      </c>
      <c r="B36" s="9">
        <f>IF(ISNUMBER('Jan-Mar Unit cost Economic'!E32),'Jan-Mar Unit cost Economic'!E32,"n/a")</f>
        <v>599</v>
      </c>
      <c r="C36" s="10">
        <f>IFERROR(N('Jan-Mar Unit cost Economic'!R32),0)</f>
        <v>39</v>
      </c>
      <c r="D36" s="9">
        <f>IFERROR(N('Jan-Mar Unit cost Economic'!D32),0)</f>
        <v>20901</v>
      </c>
      <c r="E36" s="9">
        <f>ROUND(IFERROR(N('Jan-Mar Unit cost Economic'!K32),0),0)</f>
        <v>436</v>
      </c>
      <c r="F36" s="11">
        <f t="shared" si="0"/>
        <v>0.81354959092866375</v>
      </c>
      <c r="G36" s="9">
        <f>ROUND(IFERROR(N('Jan-Mar Unit cost Economic'!N32),0),0)</f>
        <v>110</v>
      </c>
      <c r="H36" s="12">
        <f t="shared" si="1"/>
        <v>-324</v>
      </c>
      <c r="I36" s="12">
        <f t="shared" si="2"/>
        <v>-12636</v>
      </c>
    </row>
    <row r="37" spans="1:9" x14ac:dyDescent="0.35">
      <c r="A37" s="8" t="str">
        <f>'Jan-Mar Unit cost Economic'!B33</f>
        <v>Endless Creations Pack | Dabble Reusable Colouring Pages + Sensory Play Dough</v>
      </c>
      <c r="B37" s="9">
        <f>IF(ISNUMBER('Jan-Mar Unit cost Economic'!E33),'Jan-Mar Unit cost Economic'!E33,"n/a")</f>
        <v>1298</v>
      </c>
      <c r="C37" s="10">
        <f>IFERROR(N('Jan-Mar Unit cost Economic'!R33),0)</f>
        <v>15</v>
      </c>
      <c r="D37" s="9">
        <f>IFERROR(N('Jan-Mar Unit cost Economic'!D33),0)</f>
        <v>18495</v>
      </c>
      <c r="E37" s="9">
        <f>ROUND(IFERROR(N('Jan-Mar Unit cost Economic'!K33),0),0)</f>
        <v>877</v>
      </c>
      <c r="F37" s="11">
        <f t="shared" si="0"/>
        <v>0.71127331711273312</v>
      </c>
      <c r="G37" s="9">
        <f>ROUND(IFERROR(N('Jan-Mar Unit cost Economic'!N33),0),0)</f>
        <v>162</v>
      </c>
      <c r="H37" s="12">
        <f t="shared" si="1"/>
        <v>65</v>
      </c>
      <c r="I37" s="12">
        <f t="shared" si="2"/>
        <v>975</v>
      </c>
    </row>
    <row r="38" spans="1:9" x14ac:dyDescent="0.35">
      <c r="A38" s="8" t="str">
        <f>'Jan-Mar Unit cost Economic'!B34</f>
        <v>Little Makerâ€™s Set | Dabble Sensory Play Dough + Painting Apron</v>
      </c>
      <c r="B38" s="9">
        <f>IF(ISNUMBER('Jan-Mar Unit cost Economic'!E34),'Jan-Mar Unit cost Economic'!E34,"n/a")</f>
        <v>1648</v>
      </c>
      <c r="C38" s="10">
        <f>IFERROR(N('Jan-Mar Unit cost Economic'!R34),0)</f>
        <v>11</v>
      </c>
      <c r="D38" s="9">
        <f>IFERROR(N('Jan-Mar Unit cost Economic'!D34),0)</f>
        <v>17215</v>
      </c>
      <c r="E38" s="9">
        <f>ROUND(IFERROR(N('Jan-Mar Unit cost Economic'!K34),0),0)</f>
        <v>1102</v>
      </c>
      <c r="F38" s="11">
        <f t="shared" ref="F38:F69" si="3">IFERROR(E38/(D38/C38),0)</f>
        <v>0.70415335463258788</v>
      </c>
      <c r="G38" s="9">
        <f>ROUND(IFERROR(N('Jan-Mar Unit cost Economic'!N34),0),0)</f>
        <v>222</v>
      </c>
      <c r="H38" s="12">
        <f t="shared" ref="H38:H69" si="4">ROUND(E38-$D$3-G38,0)</f>
        <v>230</v>
      </c>
      <c r="I38" s="12">
        <f t="shared" ref="I38:I69" si="5">ROUND(H38*C38,0)</f>
        <v>2530</v>
      </c>
    </row>
    <row r="39" spans="1:9" x14ac:dyDescent="0.35">
      <c r="A39" s="8" t="str">
        <f>'Jan-Mar Unit cost Economic'!B35</f>
        <v>Toddlers First Colouring Set | Playart Crayons + Art Roll</v>
      </c>
      <c r="B39" s="9">
        <f>IF(ISNUMBER('Jan-Mar Unit cost Economic'!E35),'Jan-Mar Unit cost Economic'!E35,"n/a")</f>
        <v>1148</v>
      </c>
      <c r="C39" s="10">
        <f>IFERROR(N('Jan-Mar Unit cost Economic'!R35),0)</f>
        <v>15</v>
      </c>
      <c r="D39" s="9">
        <f>IFERROR(N('Jan-Mar Unit cost Economic'!D35),0)</f>
        <v>14640</v>
      </c>
      <c r="E39" s="9">
        <f>ROUND(IFERROR(N('Jan-Mar Unit cost Economic'!K35),0),0)</f>
        <v>762</v>
      </c>
      <c r="F39" s="11">
        <f t="shared" si="3"/>
        <v>0.78073770491803274</v>
      </c>
      <c r="G39" s="9">
        <f>ROUND(IFERROR(N('Jan-Mar Unit cost Economic'!N35),0),0)</f>
        <v>228</v>
      </c>
      <c r="H39" s="12">
        <f t="shared" si="4"/>
        <v>-116</v>
      </c>
      <c r="I39" s="12">
        <f t="shared" si="5"/>
        <v>-1740</v>
      </c>
    </row>
    <row r="40" spans="1:9" x14ac:dyDescent="0.35">
      <c r="A40" s="8" t="str">
        <f>'Jan-Mar Unit cost Economic'!B36</f>
        <v>Dabble Jumbo Paint Brush Set</v>
      </c>
      <c r="B40" s="9">
        <f>IF(ISNUMBER('Jan-Mar Unit cost Economic'!E36),'Jan-Mar Unit cost Economic'!E36,"n/a")</f>
        <v>499</v>
      </c>
      <c r="C40" s="10">
        <f>IFERROR(N('Jan-Mar Unit cost Economic'!R36),0)</f>
        <v>32</v>
      </c>
      <c r="D40" s="9">
        <f>IFERROR(N('Jan-Mar Unit cost Economic'!D36),0)</f>
        <v>14568</v>
      </c>
      <c r="E40" s="9">
        <f>ROUND(IFERROR(N('Jan-Mar Unit cost Economic'!K36),0),0)</f>
        <v>334</v>
      </c>
      <c r="F40" s="11">
        <f t="shared" si="3"/>
        <v>0.73366282262493132</v>
      </c>
      <c r="G40" s="9">
        <f>ROUND(IFERROR(N('Jan-Mar Unit cost Economic'!N36),0),0)</f>
        <v>152</v>
      </c>
      <c r="H40" s="12">
        <f t="shared" si="4"/>
        <v>-468</v>
      </c>
      <c r="I40" s="12">
        <f t="shared" si="5"/>
        <v>-14976</v>
      </c>
    </row>
    <row r="41" spans="1:9" x14ac:dyDescent="0.35">
      <c r="A41" s="8" t="str">
        <f>'Jan-Mar Unit cost Economic'!B37</f>
        <v>Dabble Dessert Party Pretend Playdough Set</v>
      </c>
      <c r="B41" s="9">
        <f>IF(ISNUMBER('Jan-Mar Unit cost Economic'!E37),'Jan-Mar Unit cost Economic'!E37,"n/a")</f>
        <v>599</v>
      </c>
      <c r="C41" s="10">
        <f>IFERROR(N('Jan-Mar Unit cost Economic'!R37),0)</f>
        <v>24</v>
      </c>
      <c r="D41" s="9">
        <f>IFERROR(N('Jan-Mar Unit cost Economic'!D37),0)</f>
        <v>12846</v>
      </c>
      <c r="E41" s="9">
        <f>ROUND(IFERROR(N('Jan-Mar Unit cost Economic'!K37),0),0)</f>
        <v>418</v>
      </c>
      <c r="F41" s="11">
        <f t="shared" si="3"/>
        <v>0.78094348435310601</v>
      </c>
      <c r="G41" s="9">
        <f>ROUND(IFERROR(N('Jan-Mar Unit cost Economic'!N37),0),0)</f>
        <v>171</v>
      </c>
      <c r="H41" s="12">
        <f t="shared" si="4"/>
        <v>-403</v>
      </c>
      <c r="I41" s="12">
        <f t="shared" si="5"/>
        <v>-9672</v>
      </c>
    </row>
    <row r="42" spans="1:9" x14ac:dyDescent="0.35">
      <c r="A42" s="8" t="str">
        <f>'Jan-Mar Unit cost Economic'!B38</f>
        <v>Dabble Gift Pack | Chunkies + Finger Paints</v>
      </c>
      <c r="B42" s="9">
        <f>IF(ISNUMBER('Jan-Mar Unit cost Economic'!E38),'Jan-Mar Unit cost Economic'!E38,"n/a")</f>
        <v>1198</v>
      </c>
      <c r="C42" s="10">
        <f>IFERROR(N('Jan-Mar Unit cost Economic'!R38),0)</f>
        <v>11</v>
      </c>
      <c r="D42" s="9">
        <f>IFERROR(N('Jan-Mar Unit cost Economic'!D38),0)</f>
        <v>12518</v>
      </c>
      <c r="E42" s="9">
        <f>ROUND(IFERROR(N('Jan-Mar Unit cost Economic'!K38),0),0)</f>
        <v>851</v>
      </c>
      <c r="F42" s="11">
        <f t="shared" si="3"/>
        <v>0.74780316344463971</v>
      </c>
      <c r="G42" s="9">
        <f>ROUND(IFERROR(N('Jan-Mar Unit cost Economic'!N38),0),0)</f>
        <v>184</v>
      </c>
      <c r="H42" s="12">
        <f t="shared" si="4"/>
        <v>17</v>
      </c>
      <c r="I42" s="12">
        <f t="shared" si="5"/>
        <v>187</v>
      </c>
    </row>
    <row r="43" spans="1:9" x14ac:dyDescent="0.35">
      <c r="A43" s="8" t="str">
        <f>'Jan-Mar Unit cost Economic'!B39</f>
        <v>Creative Wonder Set | Dabble Play Art Chunkies + Sensory Play Dough</v>
      </c>
      <c r="B43" s="9">
        <f>IF(ISNUMBER('Jan-Mar Unit cost Economic'!E39),'Jan-Mar Unit cost Economic'!E39,"n/a")</f>
        <v>1448</v>
      </c>
      <c r="C43" s="10">
        <f>IFERROR(N('Jan-Mar Unit cost Economic'!R39),0)</f>
        <v>9</v>
      </c>
      <c r="D43" s="9">
        <f>IFERROR(N('Jan-Mar Unit cost Economic'!D39),0)</f>
        <v>12375</v>
      </c>
      <c r="E43" s="9">
        <f>ROUND(IFERROR(N('Jan-Mar Unit cost Economic'!K39),0),0)</f>
        <v>1007</v>
      </c>
      <c r="F43" s="11">
        <f t="shared" si="3"/>
        <v>0.73236363636363633</v>
      </c>
      <c r="G43" s="9">
        <f>ROUND(IFERROR(N('Jan-Mar Unit cost Economic'!N39),0),0)</f>
        <v>262</v>
      </c>
      <c r="H43" s="12">
        <f t="shared" si="4"/>
        <v>95</v>
      </c>
      <c r="I43" s="12">
        <f t="shared" si="5"/>
        <v>855</v>
      </c>
    </row>
    <row r="44" spans="1:9" x14ac:dyDescent="0.35">
      <c r="A44" s="8" t="str">
        <f>'Jan-Mar Unit cost Economic'!B40</f>
        <v>Dabble Canvas Art Board</v>
      </c>
      <c r="B44" s="9">
        <f>IF(ISNUMBER('Jan-Mar Unit cost Economic'!E40),'Jan-Mar Unit cost Economic'!E40,"n/a")</f>
        <v>190</v>
      </c>
      <c r="C44" s="10">
        <f>IFERROR(N('Jan-Mar Unit cost Economic'!R40),0)</f>
        <v>66</v>
      </c>
      <c r="D44" s="9">
        <f>IFERROR(N('Jan-Mar Unit cost Economic'!D40),0)</f>
        <v>12260.7</v>
      </c>
      <c r="E44" s="9">
        <f>ROUND(IFERROR(N('Jan-Mar Unit cost Economic'!K40),0),0)</f>
        <v>112</v>
      </c>
      <c r="F44" s="11">
        <f t="shared" si="3"/>
        <v>0.60290195502703758</v>
      </c>
      <c r="G44" s="9">
        <f>ROUND(IFERROR(N('Jan-Mar Unit cost Economic'!N40),0),0)</f>
        <v>65</v>
      </c>
      <c r="H44" s="12">
        <f t="shared" si="4"/>
        <v>-603</v>
      </c>
      <c r="I44" s="12">
        <f t="shared" si="5"/>
        <v>-39798</v>
      </c>
    </row>
    <row r="45" spans="1:9" x14ac:dyDescent="0.35">
      <c r="A45" s="8" t="str">
        <f>'Jan-Mar Unit cost Economic'!B41</f>
        <v>Magic Paint Dust + Jumbo Brush Combo Kit + PlayArt Roll â€“ Babyâ€™s First Painting Kit</v>
      </c>
      <c r="B45" s="9">
        <f>IF(ISNUMBER('Jan-Mar Unit cost Economic'!E41),'Jan-Mar Unit cost Economic'!E41,"n/a")</f>
        <v>2097</v>
      </c>
      <c r="C45" s="10">
        <f>IFERROR(N('Jan-Mar Unit cost Economic'!R41),0)</f>
        <v>6</v>
      </c>
      <c r="D45" s="9">
        <f>IFERROR(N('Jan-Mar Unit cost Economic'!D41),0)</f>
        <v>11952</v>
      </c>
      <c r="E45" s="9">
        <f>ROUND(IFERROR(N('Jan-Mar Unit cost Economic'!K41),0),0)</f>
        <v>1390</v>
      </c>
      <c r="F45" s="11">
        <f t="shared" si="3"/>
        <v>0.69779116465863456</v>
      </c>
      <c r="G45" s="9">
        <f>ROUND(IFERROR(N('Jan-Mar Unit cost Economic'!N41),0),0)</f>
        <v>301</v>
      </c>
      <c r="H45" s="12">
        <f t="shared" si="4"/>
        <v>439</v>
      </c>
      <c r="I45" s="12">
        <f t="shared" si="5"/>
        <v>2634</v>
      </c>
    </row>
    <row r="46" spans="1:9" x14ac:dyDescent="0.35">
      <c r="A46" s="8" t="str">
        <f>'Jan-Mar Unit cost Economic'!B42</f>
        <v>Dabble Baby's First Big Colouring Pages</v>
      </c>
      <c r="B46" s="9">
        <f>IF(ISNUMBER('Jan-Mar Unit cost Economic'!E42),'Jan-Mar Unit cost Economic'!E42,"n/a")</f>
        <v>399</v>
      </c>
      <c r="C46" s="10">
        <f>IFERROR(N('Jan-Mar Unit cost Economic'!R42),0)</f>
        <v>13</v>
      </c>
      <c r="D46" s="9">
        <f>IFERROR(N('Jan-Mar Unit cost Economic'!D42),0)</f>
        <v>11687</v>
      </c>
      <c r="E46" s="9">
        <f>ROUND(IFERROR(N('Jan-Mar Unit cost Economic'!K42),0),0)</f>
        <v>263</v>
      </c>
      <c r="F46" s="11">
        <f t="shared" si="3"/>
        <v>0.29254727474972192</v>
      </c>
      <c r="G46" s="9">
        <f>ROUND(IFERROR(N('Jan-Mar Unit cost Economic'!N42),0),0)</f>
        <v>199</v>
      </c>
      <c r="H46" s="12">
        <f t="shared" si="4"/>
        <v>-586</v>
      </c>
      <c r="I46" s="12">
        <f t="shared" si="5"/>
        <v>-7618</v>
      </c>
    </row>
    <row r="47" spans="1:9" x14ac:dyDescent="0.35">
      <c r="A47" s="8" t="str">
        <f>'Jan-Mar Unit cost Economic'!B43</f>
        <v>My First Dabble Swinginâ€™ Jungle Adventure | Reusable Story Card Set</v>
      </c>
      <c r="B47" s="9">
        <f>IF(ISNUMBER('Jan-Mar Unit cost Economic'!E43),'Jan-Mar Unit cost Economic'!E43,"n/a")</f>
        <v>499</v>
      </c>
      <c r="C47" s="10">
        <f>IFERROR(N('Jan-Mar Unit cost Economic'!R43),0)</f>
        <v>21</v>
      </c>
      <c r="D47" s="9">
        <f>IFERROR(N('Jan-Mar Unit cost Economic'!D43),0)</f>
        <v>10479</v>
      </c>
      <c r="E47" s="9">
        <f>ROUND(IFERROR(N('Jan-Mar Unit cost Economic'!K43),0),0)</f>
        <v>362</v>
      </c>
      <c r="F47" s="11">
        <f t="shared" si="3"/>
        <v>0.72545090180360716</v>
      </c>
      <c r="G47" s="9">
        <f>ROUND(IFERROR(N('Jan-Mar Unit cost Economic'!N43),0),0)</f>
        <v>0</v>
      </c>
      <c r="H47" s="12">
        <f t="shared" si="4"/>
        <v>-288</v>
      </c>
      <c r="I47" s="12">
        <f t="shared" si="5"/>
        <v>-6048</v>
      </c>
    </row>
    <row r="48" spans="1:9" x14ac:dyDescent="0.35">
      <c r="A48" s="8" t="str">
        <f>'Jan-Mar Unit cost Economic'!B44</f>
        <v>Dabble Reusable Colouring Pages + Crayons Combo Kit</v>
      </c>
      <c r="B48" s="9">
        <f>IF(ISNUMBER('Jan-Mar Unit cost Economic'!E44),'Jan-Mar Unit cost Economic'!E44,"n/a")</f>
        <v>848</v>
      </c>
      <c r="C48" s="10">
        <f>IFERROR(N('Jan-Mar Unit cost Economic'!R44),0)</f>
        <v>13</v>
      </c>
      <c r="D48" s="9">
        <f>IFERROR(N('Jan-Mar Unit cost Economic'!D44),0)</f>
        <v>10465</v>
      </c>
      <c r="E48" s="9">
        <f>ROUND(IFERROR(N('Jan-Mar Unit cost Economic'!K44),0),0)</f>
        <v>582</v>
      </c>
      <c r="F48" s="11">
        <f t="shared" si="3"/>
        <v>0.72298136645962729</v>
      </c>
      <c r="G48" s="9">
        <f>ROUND(IFERROR(N('Jan-Mar Unit cost Economic'!N44),0),0)</f>
        <v>146</v>
      </c>
      <c r="H48" s="12">
        <f t="shared" si="4"/>
        <v>-214</v>
      </c>
      <c r="I48" s="12">
        <f t="shared" si="5"/>
        <v>-2782</v>
      </c>
    </row>
    <row r="49" spans="1:9" x14ac:dyDescent="0.35">
      <c r="A49" s="8" t="str">
        <f>'Jan-Mar Unit cost Economic'!B45</f>
        <v>Multi Sensory Painting Set</v>
      </c>
      <c r="B49" s="9">
        <f>IF(ISNUMBER('Jan-Mar Unit cost Economic'!E45),'Jan-Mar Unit cost Economic'!E45,"n/a")</f>
        <v>1348</v>
      </c>
      <c r="C49" s="10">
        <f>IFERROR(N('Jan-Mar Unit cost Economic'!R45),0)</f>
        <v>8</v>
      </c>
      <c r="D49" s="9">
        <f>IFERROR(N('Jan-Mar Unit cost Economic'!D45),0)</f>
        <v>10240</v>
      </c>
      <c r="E49" s="9">
        <f>ROUND(IFERROR(N('Jan-Mar Unit cost Economic'!K45),0),0)</f>
        <v>915</v>
      </c>
      <c r="F49" s="11">
        <f t="shared" si="3"/>
        <v>0.71484375</v>
      </c>
      <c r="G49" s="9">
        <f>ROUND(IFERROR(N('Jan-Mar Unit cost Economic'!N45),0),0)</f>
        <v>315</v>
      </c>
      <c r="H49" s="12">
        <f t="shared" si="4"/>
        <v>-50</v>
      </c>
      <c r="I49" s="12">
        <f t="shared" si="5"/>
        <v>-400</v>
      </c>
    </row>
    <row r="50" spans="1:9" x14ac:dyDescent="0.35">
      <c r="A50" s="8" t="str">
        <f>'Jan-Mar Unit cost Economic'!B46</f>
        <v>Dabble Chubby Brushes</v>
      </c>
      <c r="B50" s="9">
        <f>IF(ISNUMBER('Jan-Mar Unit cost Economic'!E46),'Jan-Mar Unit cost Economic'!E46,"n/a")</f>
        <v>449</v>
      </c>
      <c r="C50" s="10">
        <f>IFERROR(N('Jan-Mar Unit cost Economic'!R46),0)</f>
        <v>20</v>
      </c>
      <c r="D50" s="9">
        <f>IFERROR(N('Jan-Mar Unit cost Economic'!D46),0)</f>
        <v>9980</v>
      </c>
      <c r="E50" s="9">
        <f>ROUND(IFERROR(N('Jan-Mar Unit cost Economic'!K46),0),0)</f>
        <v>291</v>
      </c>
      <c r="F50" s="11">
        <f t="shared" si="3"/>
        <v>0.58316633266533069</v>
      </c>
      <c r="G50" s="9">
        <f>ROUND(IFERROR(N('Jan-Mar Unit cost Economic'!N46),0),0)</f>
        <v>183</v>
      </c>
      <c r="H50" s="12">
        <f t="shared" si="4"/>
        <v>-542</v>
      </c>
      <c r="I50" s="12">
        <f t="shared" si="5"/>
        <v>-10840</v>
      </c>
    </row>
    <row r="51" spans="1:9" x14ac:dyDescent="0.35">
      <c r="A51" s="8" t="str">
        <f>'Jan-Mar Unit cost Economic'!B47</f>
        <v>Dabble Reusable Colouring Pages + Mini Finger Paints Combo Kit</v>
      </c>
      <c r="B51" s="9">
        <f>IF(ISNUMBER('Jan-Mar Unit cost Economic'!E47),'Jan-Mar Unit cost Economic'!E47,"n/a")</f>
        <v>998</v>
      </c>
      <c r="C51" s="10">
        <f>IFERROR(N('Jan-Mar Unit cost Economic'!R47),0)</f>
        <v>9</v>
      </c>
      <c r="D51" s="9">
        <f>IFERROR(N('Jan-Mar Unit cost Economic'!D47),0)</f>
        <v>8532</v>
      </c>
      <c r="E51" s="9">
        <f>ROUND(IFERROR(N('Jan-Mar Unit cost Economic'!K47),0),0)</f>
        <v>681</v>
      </c>
      <c r="F51" s="11">
        <f t="shared" si="3"/>
        <v>0.71835443037974689</v>
      </c>
      <c r="G51" s="9">
        <f>ROUND(IFERROR(N('Jan-Mar Unit cost Economic'!N47),0),0)</f>
        <v>249</v>
      </c>
      <c r="H51" s="12">
        <f t="shared" si="4"/>
        <v>-218</v>
      </c>
      <c r="I51" s="12">
        <f t="shared" si="5"/>
        <v>-1962</v>
      </c>
    </row>
    <row r="52" spans="1:9" x14ac:dyDescent="0.35">
      <c r="A52" s="8" t="str">
        <f>'Jan-Mar Unit cost Economic'!B48</f>
        <v>Dabble Magic Dough Lab â€” Colour Mixing STEAM Kit</v>
      </c>
      <c r="B52" s="9">
        <f>IF(ISNUMBER('Jan-Mar Unit cost Economic'!E48),'Jan-Mar Unit cost Economic'!E48,"n/a")</f>
        <v>599</v>
      </c>
      <c r="C52" s="10">
        <f>IFERROR(N('Jan-Mar Unit cost Economic'!R48),0)</f>
        <v>16</v>
      </c>
      <c r="D52" s="9">
        <f>IFERROR(N('Jan-Mar Unit cost Economic'!D48),0)</f>
        <v>8504</v>
      </c>
      <c r="E52" s="9">
        <f>ROUND(IFERROR(N('Jan-Mar Unit cost Economic'!K48),0),0)</f>
        <v>457</v>
      </c>
      <c r="F52" s="11">
        <f t="shared" si="3"/>
        <v>0.8598306679209784</v>
      </c>
      <c r="G52" s="9">
        <f>ROUND(IFERROR(N('Jan-Mar Unit cost Economic'!N48),0),0)</f>
        <v>90</v>
      </c>
      <c r="H52" s="12">
        <f t="shared" si="4"/>
        <v>-283</v>
      </c>
      <c r="I52" s="12">
        <f t="shared" si="5"/>
        <v>-4528</v>
      </c>
    </row>
    <row r="53" spans="1:9" x14ac:dyDescent="0.35">
      <c r="A53" s="8" t="str">
        <f>'Jan-Mar Unit cost Economic'!B49</f>
        <v>My First Dabble Puzzle Colouring Set - Emotions, Shapes &amp; Colours</v>
      </c>
      <c r="B53" s="9">
        <f>IF(ISNUMBER('Jan-Mar Unit cost Economic'!E49),'Jan-Mar Unit cost Economic'!E49,"n/a")</f>
        <v>999</v>
      </c>
      <c r="C53" s="10">
        <f>IFERROR(N('Jan-Mar Unit cost Economic'!R49),0)</f>
        <v>11</v>
      </c>
      <c r="D53" s="9">
        <f>IFERROR(N('Jan-Mar Unit cost Economic'!D49),0)</f>
        <v>8459</v>
      </c>
      <c r="E53" s="9">
        <f>ROUND(IFERROR(N('Jan-Mar Unit cost Economic'!K49),0),0)</f>
        <v>610</v>
      </c>
      <c r="F53" s="11">
        <f t="shared" si="3"/>
        <v>0.79323797139141738</v>
      </c>
      <c r="G53" s="9">
        <f>ROUND(IFERROR(N('Jan-Mar Unit cost Economic'!N49),0),0)</f>
        <v>142</v>
      </c>
      <c r="H53" s="12">
        <f t="shared" si="4"/>
        <v>-182</v>
      </c>
      <c r="I53" s="12">
        <f t="shared" si="5"/>
        <v>-2002</v>
      </c>
    </row>
    <row r="54" spans="1:9" x14ac:dyDescent="0.35">
      <c r="A54" s="8" t="str">
        <f>'Jan-Mar Unit cost Economic'!B50</f>
        <v>Dabble DINOSAUR STENCIL ART &amp; CRAFT Kit</v>
      </c>
      <c r="B54" s="9">
        <f>IF(ISNUMBER('Jan-Mar Unit cost Economic'!E50),'Jan-Mar Unit cost Economic'!E50,"n/a")</f>
        <v>399</v>
      </c>
      <c r="C54" s="10">
        <f>IFERROR(N('Jan-Mar Unit cost Economic'!R50),0)</f>
        <v>8</v>
      </c>
      <c r="D54" s="9">
        <f>IFERROR(N('Jan-Mar Unit cost Economic'!D50),0)</f>
        <v>7360</v>
      </c>
      <c r="E54" s="9">
        <f>ROUND(IFERROR(N('Jan-Mar Unit cost Economic'!K50),0),0)</f>
        <v>216</v>
      </c>
      <c r="F54" s="11">
        <f t="shared" si="3"/>
        <v>0.23478260869565218</v>
      </c>
      <c r="G54" s="9">
        <f>ROUND(IFERROR(N('Jan-Mar Unit cost Economic'!N50),0),0)</f>
        <v>0</v>
      </c>
      <c r="H54" s="12">
        <f t="shared" si="4"/>
        <v>-434</v>
      </c>
      <c r="I54" s="12">
        <f t="shared" si="5"/>
        <v>-3472</v>
      </c>
    </row>
    <row r="55" spans="1:9" x14ac:dyDescent="0.35">
      <c r="A55" s="8" t="str">
        <f>'Jan-Mar Unit cost Economic'!B51</f>
        <v>All In One Paint Kit</v>
      </c>
      <c r="B55" s="9">
        <f>IF(ISNUMBER('Jan-Mar Unit cost Economic'!E51),'Jan-Mar Unit cost Economic'!E51,"n/a")</f>
        <v>499</v>
      </c>
      <c r="C55" s="10">
        <f>IFERROR(N('Jan-Mar Unit cost Economic'!R51),0)</f>
        <v>15</v>
      </c>
      <c r="D55" s="9">
        <f>IFERROR(N('Jan-Mar Unit cost Economic'!D51),0)</f>
        <v>7035</v>
      </c>
      <c r="E55" s="9">
        <f>ROUND(IFERROR(N('Jan-Mar Unit cost Economic'!K51),0),0)</f>
        <v>313</v>
      </c>
      <c r="F55" s="11">
        <f t="shared" si="3"/>
        <v>0.66737739872068236</v>
      </c>
      <c r="G55" s="9">
        <f>ROUND(IFERROR(N('Jan-Mar Unit cost Economic'!N51),0),0)</f>
        <v>109</v>
      </c>
      <c r="H55" s="12">
        <f t="shared" si="4"/>
        <v>-446</v>
      </c>
      <c r="I55" s="12">
        <f t="shared" si="5"/>
        <v>-6690</v>
      </c>
    </row>
    <row r="56" spans="1:9" x14ac:dyDescent="0.35">
      <c r="A56" s="8" t="str">
        <f>'Jan-Mar Unit cost Economic'!B52</f>
        <v>Dabble Finger Painting Super Pack</v>
      </c>
      <c r="B56" s="9">
        <f>IF(ISNUMBER('Jan-Mar Unit cost Economic'!E52),'Jan-Mar Unit cost Economic'!E52,"n/a")</f>
        <v>2147</v>
      </c>
      <c r="C56" s="10">
        <f>IFERROR(N('Jan-Mar Unit cost Economic'!R52),0)</f>
        <v>3</v>
      </c>
      <c r="D56" s="9">
        <f>IFERROR(N('Jan-Mar Unit cost Economic'!D52),0)</f>
        <v>6117</v>
      </c>
      <c r="E56" s="9">
        <f>ROUND(IFERROR(N('Jan-Mar Unit cost Economic'!K52),0),0)</f>
        <v>1374</v>
      </c>
      <c r="F56" s="11">
        <f t="shared" si="3"/>
        <v>0.6738597351642962</v>
      </c>
      <c r="G56" s="9">
        <f>ROUND(IFERROR(N('Jan-Mar Unit cost Economic'!N52),0),0)</f>
        <v>130</v>
      </c>
      <c r="H56" s="12">
        <f t="shared" si="4"/>
        <v>594</v>
      </c>
      <c r="I56" s="12">
        <f t="shared" si="5"/>
        <v>1782</v>
      </c>
    </row>
    <row r="57" spans="1:9" x14ac:dyDescent="0.35">
      <c r="A57" s="8" t="str">
        <f>'Jan-Mar Unit cost Economic'!B53</f>
        <v>Dabble UNICORN STENCIL ART &amp; CRAFT Kit</v>
      </c>
      <c r="B57" s="9">
        <f>IF(ISNUMBER('Jan-Mar Unit cost Economic'!E53),'Jan-Mar Unit cost Economic'!E53,"n/a")</f>
        <v>399</v>
      </c>
      <c r="C57" s="10">
        <f>IFERROR(N('Jan-Mar Unit cost Economic'!R53),0)</f>
        <v>12</v>
      </c>
      <c r="D57" s="9">
        <f>IFERROR(N('Jan-Mar Unit cost Economic'!D53),0)</f>
        <v>6085</v>
      </c>
      <c r="E57" s="9">
        <f>ROUND(IFERROR(N('Jan-Mar Unit cost Economic'!K53),0),0)</f>
        <v>241</v>
      </c>
      <c r="F57" s="11">
        <f t="shared" si="3"/>
        <v>0.47526705012325393</v>
      </c>
      <c r="G57" s="9">
        <f>ROUND(IFERROR(N('Jan-Mar Unit cost Economic'!N53),0),0)</f>
        <v>0</v>
      </c>
      <c r="H57" s="12">
        <f t="shared" si="4"/>
        <v>-409</v>
      </c>
      <c r="I57" s="12">
        <f t="shared" si="5"/>
        <v>-4908</v>
      </c>
    </row>
    <row r="58" spans="1:9" x14ac:dyDescent="0.35">
      <c r="A58" s="8" t="str">
        <f>'Jan-Mar Unit cost Economic'!B54</f>
        <v>All In One Paint Kit + Playart Crayons Combo</v>
      </c>
      <c r="B58" s="9">
        <f>IF(ISNUMBER('Jan-Mar Unit cost Economic'!E54),'Jan-Mar Unit cost Economic'!E54,"n/a")</f>
        <v>948</v>
      </c>
      <c r="C58" s="10">
        <f>IFERROR(N('Jan-Mar Unit cost Economic'!R54),0)</f>
        <v>6</v>
      </c>
      <c r="D58" s="9">
        <f>IFERROR(N('Jan-Mar Unit cost Economic'!D54),0)</f>
        <v>5970</v>
      </c>
      <c r="E58" s="9">
        <f>ROUND(IFERROR(N('Jan-Mar Unit cost Economic'!K54),0),0)</f>
        <v>616</v>
      </c>
      <c r="F58" s="11">
        <f t="shared" si="3"/>
        <v>0.61909547738693471</v>
      </c>
      <c r="G58" s="9">
        <f>ROUND(IFERROR(N('Jan-Mar Unit cost Economic'!N54),0),0)</f>
        <v>240</v>
      </c>
      <c r="H58" s="12">
        <f t="shared" si="4"/>
        <v>-274</v>
      </c>
      <c r="I58" s="12">
        <f t="shared" si="5"/>
        <v>-1644</v>
      </c>
    </row>
    <row r="59" spans="1:9" x14ac:dyDescent="0.35">
      <c r="A59" s="8" t="str">
        <f>'Jan-Mar Unit cost Economic'!B55</f>
        <v>My dabble India Map Art | India maps for kids learning</v>
      </c>
      <c r="B59" s="9">
        <f>IF(ISNUMBER('Jan-Mar Unit cost Economic'!E55),'Jan-Mar Unit cost Economic'!E55,"n/a")</f>
        <v>1099</v>
      </c>
      <c r="C59" s="10">
        <f>IFERROR(N('Jan-Mar Unit cost Economic'!R55),0)</f>
        <v>5</v>
      </c>
      <c r="D59" s="9">
        <f>IFERROR(N('Jan-Mar Unit cost Economic'!D55),0)</f>
        <v>5495</v>
      </c>
      <c r="E59" s="9">
        <f>ROUND(IFERROR(N('Jan-Mar Unit cost Economic'!K55),0),0)</f>
        <v>736</v>
      </c>
      <c r="F59" s="11">
        <f t="shared" si="3"/>
        <v>0.66969972702456781</v>
      </c>
      <c r="G59" s="9">
        <f>ROUND(IFERROR(N('Jan-Mar Unit cost Economic'!N55),0),0)</f>
        <v>64</v>
      </c>
      <c r="H59" s="12">
        <f t="shared" si="4"/>
        <v>22</v>
      </c>
      <c r="I59" s="12">
        <f t="shared" si="5"/>
        <v>110</v>
      </c>
    </row>
    <row r="60" spans="1:9" x14ac:dyDescent="0.35">
      <c r="A60" s="8" t="str">
        <f>'Jan-Mar Unit cost Economic'!B56</f>
        <v>Dabble Starter Finger Painting Fun Pack + Apron ComboKit</v>
      </c>
      <c r="B60" s="9">
        <f>IF(ISNUMBER('Jan-Mar Unit cost Economic'!E56),'Jan-Mar Unit cost Economic'!E56,"n/a")</f>
        <v>1398</v>
      </c>
      <c r="C60" s="10">
        <f>IFERROR(N('Jan-Mar Unit cost Economic'!R56),0)</f>
        <v>4</v>
      </c>
      <c r="D60" s="9">
        <f>IFERROR(N('Jan-Mar Unit cost Economic'!D56),0)</f>
        <v>5312</v>
      </c>
      <c r="E60" s="9">
        <f>ROUND(IFERROR(N('Jan-Mar Unit cost Economic'!K56),0),0)</f>
        <v>847</v>
      </c>
      <c r="F60" s="11">
        <f t="shared" si="3"/>
        <v>0.63780120481927716</v>
      </c>
      <c r="G60" s="9">
        <f>ROUND(IFERROR(N('Jan-Mar Unit cost Economic'!N56),0),0)</f>
        <v>218</v>
      </c>
      <c r="H60" s="12">
        <f t="shared" si="4"/>
        <v>-21</v>
      </c>
      <c r="I60" s="12">
        <f t="shared" si="5"/>
        <v>-84</v>
      </c>
    </row>
    <row r="61" spans="1:9" x14ac:dyDescent="0.35">
      <c r="A61" s="8" t="str">
        <f>'Jan-Mar Unit cost Economic'!B57</f>
        <v>Dabble Finger Paints + Canvas Art Board</v>
      </c>
      <c r="B61" s="9">
        <f>IF(ISNUMBER('Jan-Mar Unit cost Economic'!E57),'Jan-Mar Unit cost Economic'!E57,"n/a")</f>
        <v>1089</v>
      </c>
      <c r="C61" s="10">
        <f>IFERROR(N('Jan-Mar Unit cost Economic'!R57),0)</f>
        <v>5</v>
      </c>
      <c r="D61" s="9">
        <f>IFERROR(N('Jan-Mar Unit cost Economic'!D57),0)</f>
        <v>5170</v>
      </c>
      <c r="E61" s="9">
        <f>ROUND(IFERROR(N('Jan-Mar Unit cost Economic'!K57),0),0)</f>
        <v>686</v>
      </c>
      <c r="F61" s="11">
        <f t="shared" si="3"/>
        <v>0.66344294003868476</v>
      </c>
      <c r="G61" s="9">
        <f>ROUND(IFERROR(N('Jan-Mar Unit cost Economic'!N57),0),0)</f>
        <v>302</v>
      </c>
      <c r="H61" s="12">
        <f t="shared" si="4"/>
        <v>-266</v>
      </c>
      <c r="I61" s="12">
        <f t="shared" si="5"/>
        <v>-1330</v>
      </c>
    </row>
    <row r="62" spans="1:9" x14ac:dyDescent="0.35">
      <c r="A62" s="8" t="str">
        <f>'Jan-Mar Unit cost Economic'!B58</f>
        <v>Dabble Playtime Prep Kit</v>
      </c>
      <c r="B62" s="9">
        <f>IF(ISNUMBER('Jan-Mar Unit cost Economic'!E58),'Jan-Mar Unit cost Economic'!E58,"n/a")</f>
        <v>1238</v>
      </c>
      <c r="C62" s="10">
        <f>IFERROR(N('Jan-Mar Unit cost Economic'!R58),0)</f>
        <v>4</v>
      </c>
      <c r="D62" s="9">
        <f>IFERROR(N('Jan-Mar Unit cost Economic'!D58),0)</f>
        <v>4704</v>
      </c>
      <c r="E62" s="9">
        <f>ROUND(IFERROR(N('Jan-Mar Unit cost Economic'!K58),0),0)</f>
        <v>820</v>
      </c>
      <c r="F62" s="11">
        <f t="shared" si="3"/>
        <v>0.69727891156462585</v>
      </c>
      <c r="G62" s="9">
        <f>ROUND(IFERROR(N('Jan-Mar Unit cost Economic'!N58),0),0)</f>
        <v>39</v>
      </c>
      <c r="H62" s="12">
        <f t="shared" si="4"/>
        <v>131</v>
      </c>
      <c r="I62" s="12">
        <f t="shared" si="5"/>
        <v>524</v>
      </c>
    </row>
    <row r="63" spans="1:9" x14ac:dyDescent="0.35">
      <c r="A63" s="8" t="str">
        <f>'Jan-Mar Unit cost Economic'!B59</f>
        <v>A-Z Alphabet Printable Activity Pack</v>
      </c>
      <c r="B63" s="9">
        <f>IF(ISNUMBER('Jan-Mar Unit cost Economic'!E59),'Jan-Mar Unit cost Economic'!E59,"n/a")</f>
        <v>99</v>
      </c>
      <c r="C63" s="10">
        <f>IFERROR(N('Jan-Mar Unit cost Economic'!R59),0)</f>
        <v>41</v>
      </c>
      <c r="D63" s="9">
        <f>IFERROR(N('Jan-Mar Unit cost Economic'!D59),0)</f>
        <v>4059</v>
      </c>
      <c r="E63" s="9">
        <f>ROUND(IFERROR(N('Jan-Mar Unit cost Economic'!K59),0),0)</f>
        <v>75</v>
      </c>
      <c r="F63" s="11">
        <f t="shared" si="3"/>
        <v>0.75757575757575757</v>
      </c>
      <c r="G63" s="9">
        <f>ROUND(IFERROR(N('Jan-Mar Unit cost Economic'!N59),0),0)</f>
        <v>0</v>
      </c>
      <c r="H63" s="12">
        <f t="shared" si="4"/>
        <v>-575</v>
      </c>
      <c r="I63" s="12">
        <f t="shared" si="5"/>
        <v>-23575</v>
      </c>
    </row>
    <row r="64" spans="1:9" x14ac:dyDescent="0.35">
      <c r="A64" s="8" t="str">
        <f>'Jan-Mar Unit cost Economic'!B60</f>
        <v>Dabble Chunky Glue</v>
      </c>
      <c r="B64" s="9">
        <f>IF(ISNUMBER('Jan-Mar Unit cost Economic'!E60),'Jan-Mar Unit cost Economic'!E60,"n/a")</f>
        <v>349</v>
      </c>
      <c r="C64" s="10">
        <f>IFERROR(N('Jan-Mar Unit cost Economic'!R60),0)</f>
        <v>11</v>
      </c>
      <c r="D64" s="9">
        <f>IFERROR(N('Jan-Mar Unit cost Economic'!D60),0)</f>
        <v>3839</v>
      </c>
      <c r="E64" s="9">
        <f>ROUND(IFERROR(N('Jan-Mar Unit cost Economic'!K60),0),0)</f>
        <v>233</v>
      </c>
      <c r="F64" s="11">
        <f t="shared" si="3"/>
        <v>0.66762177650429799</v>
      </c>
      <c r="G64" s="9">
        <f>ROUND(IFERROR(N('Jan-Mar Unit cost Economic'!N60),0),0)</f>
        <v>226</v>
      </c>
      <c r="H64" s="12">
        <f t="shared" si="4"/>
        <v>-643</v>
      </c>
      <c r="I64" s="12">
        <f t="shared" si="5"/>
        <v>-7073</v>
      </c>
    </row>
    <row r="65" spans="1:9" x14ac:dyDescent="0.35">
      <c r="A65" s="8" t="str">
        <f>'Jan-Mar Unit cost Economic'!B61</f>
        <v>Dabble Essentials Pack</v>
      </c>
      <c r="B65" s="9">
        <f>IF(ISNUMBER('Jan-Mar Unit cost Economic'!E61),'Jan-Mar Unit cost Economic'!E61,"n/a")</f>
        <v>1847</v>
      </c>
      <c r="C65" s="10">
        <f>IFERROR(N('Jan-Mar Unit cost Economic'!R61),0)</f>
        <v>2</v>
      </c>
      <c r="D65" s="9">
        <f>IFERROR(N('Jan-Mar Unit cost Economic'!D61),0)</f>
        <v>3694</v>
      </c>
      <c r="E65" s="9">
        <f>ROUND(IFERROR(N('Jan-Mar Unit cost Economic'!K61),0),0)</f>
        <v>1130</v>
      </c>
      <c r="F65" s="11">
        <f t="shared" si="3"/>
        <v>0.61180292365998912</v>
      </c>
      <c r="G65" s="9">
        <f>ROUND(IFERROR(N('Jan-Mar Unit cost Economic'!N61),0),0)</f>
        <v>117</v>
      </c>
      <c r="H65" s="12">
        <f t="shared" si="4"/>
        <v>363</v>
      </c>
      <c r="I65" s="12">
        <f t="shared" si="5"/>
        <v>726</v>
      </c>
    </row>
    <row r="66" spans="1:9" x14ac:dyDescent="0.35">
      <c r="A66" s="8" t="str">
        <f>'Jan-Mar Unit cost Economic'!B62</f>
        <v>Flip Flap Crayon Play Pack Dinosaur Themed | Activity Book with Crayons |</v>
      </c>
      <c r="B66" s="9">
        <f>IF(ISNUMBER('Jan-Mar Unit cost Economic'!E62),'Jan-Mar Unit cost Economic'!E62,"n/a")</f>
        <v>998</v>
      </c>
      <c r="C66" s="10">
        <f>IFERROR(N('Jan-Mar Unit cost Economic'!R62),0)</f>
        <v>4</v>
      </c>
      <c r="D66" s="9">
        <f>IFERROR(N('Jan-Mar Unit cost Economic'!D62),0)</f>
        <v>3302</v>
      </c>
      <c r="E66" s="9">
        <f>ROUND(IFERROR(N('Jan-Mar Unit cost Economic'!K62),0),0)</f>
        <v>677</v>
      </c>
      <c r="F66" s="11">
        <f t="shared" si="3"/>
        <v>0.82010902483343429</v>
      </c>
      <c r="G66" s="9">
        <f>ROUND(IFERROR(N('Jan-Mar Unit cost Economic'!N62),0),0)</f>
        <v>190</v>
      </c>
      <c r="H66" s="12">
        <f t="shared" si="4"/>
        <v>-163</v>
      </c>
      <c r="I66" s="12">
        <f t="shared" si="5"/>
        <v>-652</v>
      </c>
    </row>
    <row r="67" spans="1:9" x14ac:dyDescent="0.35">
      <c r="A67" s="8" t="str">
        <f>'Jan-Mar Unit cost Economic'!B63</f>
        <v>My First Dabble Swinginâ€™ Jungle Adventure + Mini Starter Fun Pack Combo</v>
      </c>
      <c r="B67" s="9">
        <f>IF(ISNUMBER('Jan-Mar Unit cost Economic'!E63),'Jan-Mar Unit cost Economic'!E63,"n/a")</f>
        <v>1098</v>
      </c>
      <c r="C67" s="10">
        <f>IFERROR(N('Jan-Mar Unit cost Economic'!R63),0)</f>
        <v>3</v>
      </c>
      <c r="D67" s="9">
        <f>IFERROR(N('Jan-Mar Unit cost Economic'!D63),0)</f>
        <v>3129</v>
      </c>
      <c r="E67" s="9">
        <f>ROUND(IFERROR(N('Jan-Mar Unit cost Economic'!K63),0),0)</f>
        <v>773</v>
      </c>
      <c r="F67" s="11">
        <f t="shared" si="3"/>
        <v>0.74113135186960688</v>
      </c>
      <c r="G67" s="9">
        <f>ROUND(IFERROR(N('Jan-Mar Unit cost Economic'!N63),0),0)</f>
        <v>0</v>
      </c>
      <c r="H67" s="12">
        <f t="shared" si="4"/>
        <v>123</v>
      </c>
      <c r="I67" s="12">
        <f t="shared" si="5"/>
        <v>369</v>
      </c>
    </row>
    <row r="68" spans="1:9" x14ac:dyDescent="0.35">
      <c r="A68" s="8" t="str">
        <f>'Jan-Mar Unit cost Economic'!B64</f>
        <v>Dabble Painting set | Finger Paints + Chubby Brushes</v>
      </c>
      <c r="B68" s="9">
        <f>IF(ISNUMBER('Jan-Mar Unit cost Economic'!E64),'Jan-Mar Unit cost Economic'!E64,"n/a")</f>
        <v>1098</v>
      </c>
      <c r="C68" s="10">
        <f>IFERROR(N('Jan-Mar Unit cost Economic'!R64),0)</f>
        <v>3</v>
      </c>
      <c r="D68" s="9">
        <f>IFERROR(N('Jan-Mar Unit cost Economic'!D64),0)</f>
        <v>3129</v>
      </c>
      <c r="E68" s="9">
        <f>ROUND(IFERROR(N('Jan-Mar Unit cost Economic'!K64),0),0)</f>
        <v>769</v>
      </c>
      <c r="F68" s="11">
        <f t="shared" si="3"/>
        <v>0.7372962607861937</v>
      </c>
      <c r="G68" s="9">
        <f>ROUND(IFERROR(N('Jan-Mar Unit cost Economic'!N64),0),0)</f>
        <v>199</v>
      </c>
      <c r="H68" s="12">
        <f t="shared" si="4"/>
        <v>-80</v>
      </c>
      <c r="I68" s="12">
        <f t="shared" si="5"/>
        <v>-240</v>
      </c>
    </row>
    <row r="69" spans="1:9" x14ac:dyDescent="0.35">
      <c r="A69" s="8" t="str">
        <f>'Jan-Mar Unit cost Economic'!B65</f>
        <v>My First Dabble Art Set For Toddlers</v>
      </c>
      <c r="B69" s="9">
        <f>IF(ISNUMBER('Jan-Mar Unit cost Economic'!E65),'Jan-Mar Unit cost Economic'!E65,"n/a")</f>
        <v>2246</v>
      </c>
      <c r="C69" s="10">
        <f>IFERROR(N('Jan-Mar Unit cost Economic'!R65),0)</f>
        <v>1</v>
      </c>
      <c r="D69" s="9">
        <f>IFERROR(N('Jan-Mar Unit cost Economic'!D65),0)</f>
        <v>2246</v>
      </c>
      <c r="E69" s="9">
        <f>ROUND(IFERROR(N('Jan-Mar Unit cost Economic'!K65),0),0)</f>
        <v>1474</v>
      </c>
      <c r="F69" s="11">
        <f t="shared" si="3"/>
        <v>0.65627782724844164</v>
      </c>
      <c r="G69" s="9">
        <f>ROUND(IFERROR(N('Jan-Mar Unit cost Economic'!N65),0),0)</f>
        <v>190</v>
      </c>
      <c r="H69" s="12">
        <f t="shared" si="4"/>
        <v>634</v>
      </c>
      <c r="I69" s="12">
        <f t="shared" si="5"/>
        <v>634</v>
      </c>
    </row>
    <row r="70" spans="1:9" x14ac:dyDescent="0.35">
      <c r="A70" s="8" t="str">
        <f>'Jan-Mar Unit cost Economic'!B66</f>
        <v>Dabble Christmas Crayons + Dabble Pages</v>
      </c>
      <c r="B70" s="9" t="str">
        <f>IF(ISNUMBER('Jan-Mar Unit cost Economic'!E66),'Jan-Mar Unit cost Economic'!E66,"n/a")</f>
        <v>n/a</v>
      </c>
      <c r="C70" s="10">
        <f>IFERROR(N('Jan-Mar Unit cost Economic'!R66),0)</f>
        <v>2</v>
      </c>
      <c r="D70" s="9">
        <f>IFERROR(N('Jan-Mar Unit cost Economic'!D66),0)</f>
        <v>1800</v>
      </c>
      <c r="E70" s="9">
        <f>ROUND(IFERROR(N('Jan-Mar Unit cost Economic'!K66),0),0)</f>
        <v>890</v>
      </c>
      <c r="F70" s="11">
        <f t="shared" ref="F70:F79" si="6">IFERROR(E70/(D70/C70),0)</f>
        <v>0.98888888888888893</v>
      </c>
      <c r="G70" s="9">
        <f>ROUND(IFERROR(N('Jan-Mar Unit cost Economic'!N66),0),0)</f>
        <v>78</v>
      </c>
      <c r="H70" s="12">
        <f t="shared" ref="H70:H79" si="7">ROUND(E70-$D$3-G70,0)</f>
        <v>162</v>
      </c>
      <c r="I70" s="12">
        <f t="shared" ref="I70:I79" si="8">ROUND(H70*C70,0)</f>
        <v>324</v>
      </c>
    </row>
    <row r="71" spans="1:9" x14ac:dyDescent="0.35">
      <c r="A71" s="8" t="str">
        <f>'Jan-Mar Unit cost Economic'!B67</f>
        <v>Dabble Sensory Painting Kit</v>
      </c>
      <c r="B71" s="9">
        <f>IF(ISNUMBER('Jan-Mar Unit cost Economic'!E67),'Jan-Mar Unit cost Economic'!E67,"n/a")</f>
        <v>1747</v>
      </c>
      <c r="C71" s="10">
        <f>IFERROR(N('Jan-Mar Unit cost Economic'!R67),0)</f>
        <v>1</v>
      </c>
      <c r="D71" s="9">
        <f>IFERROR(N('Jan-Mar Unit cost Economic'!D67),0)</f>
        <v>1747</v>
      </c>
      <c r="E71" s="9">
        <f>ROUND(IFERROR(N('Jan-Mar Unit cost Economic'!K67),0),0)</f>
        <v>1015</v>
      </c>
      <c r="F71" s="11">
        <f t="shared" si="6"/>
        <v>0.58099599313108186</v>
      </c>
      <c r="G71" s="9">
        <f>ROUND(IFERROR(N('Jan-Mar Unit cost Economic'!N67),0),0)</f>
        <v>605</v>
      </c>
      <c r="H71" s="12">
        <f t="shared" si="7"/>
        <v>-240</v>
      </c>
      <c r="I71" s="12">
        <f t="shared" si="8"/>
        <v>-240</v>
      </c>
    </row>
    <row r="72" spans="1:9" x14ac:dyDescent="0.35">
      <c r="A72" s="8" t="str">
        <f>'Jan-Mar Unit cost Economic'!B68</f>
        <v>Dabble 3 In 1 Easy-Clean Fun Pack</v>
      </c>
      <c r="B72" s="9">
        <f>IF(ISNUMBER('Jan-Mar Unit cost Economic'!E68),'Jan-Mar Unit cost Economic'!E68,"n/a")</f>
        <v>1447</v>
      </c>
      <c r="C72" s="10">
        <f>IFERROR(N('Jan-Mar Unit cost Economic'!R68),0)</f>
        <v>1</v>
      </c>
      <c r="D72" s="9">
        <f>IFERROR(N('Jan-Mar Unit cost Economic'!D68),0)</f>
        <v>1374</v>
      </c>
      <c r="E72" s="9">
        <f>ROUND(IFERROR(N('Jan-Mar Unit cost Economic'!K68),0),0)</f>
        <v>1035</v>
      </c>
      <c r="F72" s="11">
        <f t="shared" si="6"/>
        <v>0.75327510917030571</v>
      </c>
      <c r="G72" s="9">
        <f>ROUND(IFERROR(N('Jan-Mar Unit cost Economic'!N68),0),0)</f>
        <v>316</v>
      </c>
      <c r="H72" s="12">
        <f t="shared" si="7"/>
        <v>69</v>
      </c>
      <c r="I72" s="12">
        <f t="shared" si="8"/>
        <v>69</v>
      </c>
    </row>
    <row r="73" spans="1:9" x14ac:dyDescent="0.35">
      <c r="A73" s="8" t="str">
        <f>'Jan-Mar Unit cost Economic'!B69</f>
        <v>Canvas and Stand</v>
      </c>
      <c r="B73" s="9">
        <f>IF(ISNUMBER('Jan-Mar Unit cost Economic'!E69),'Jan-Mar Unit cost Economic'!E69,"n/a")</f>
        <v>160</v>
      </c>
      <c r="C73" s="10">
        <f>IFERROR(N('Jan-Mar Unit cost Economic'!R69),0)</f>
        <v>7</v>
      </c>
      <c r="D73" s="9">
        <f>IFERROR(N('Jan-Mar Unit cost Economic'!D69),0)</f>
        <v>940.80010000000004</v>
      </c>
      <c r="E73" s="9">
        <f>ROUND(IFERROR(N('Jan-Mar Unit cost Economic'!K69),0),0)</f>
        <v>127</v>
      </c>
      <c r="F73" s="11">
        <f t="shared" si="6"/>
        <v>0.94494037575038514</v>
      </c>
      <c r="G73" s="9">
        <f>ROUND(IFERROR(N('Jan-Mar Unit cost Economic'!N69),0),0)</f>
        <v>0</v>
      </c>
      <c r="H73" s="12">
        <f t="shared" si="7"/>
        <v>-523</v>
      </c>
      <c r="I73" s="12">
        <f t="shared" si="8"/>
        <v>-3661</v>
      </c>
    </row>
    <row r="74" spans="1:9" x14ac:dyDescent="0.35">
      <c r="A74" s="8" t="str">
        <f>'Jan-Mar Unit cost Economic'!B70</f>
        <v>Flip Flap Play Pack | Activity Book |</v>
      </c>
      <c r="B74" s="9">
        <f>IF(ISNUMBER('Jan-Mar Unit cost Economic'!E70),'Jan-Mar Unit cost Economic'!E70,"n/a")</f>
        <v>1098</v>
      </c>
      <c r="C74" s="10">
        <f>IFERROR(N('Jan-Mar Unit cost Economic'!R70),0)</f>
        <v>1</v>
      </c>
      <c r="D74" s="9">
        <f>IFERROR(N('Jan-Mar Unit cost Economic'!D70),0)</f>
        <v>845</v>
      </c>
      <c r="E74" s="9">
        <f>ROUND(IFERROR(N('Jan-Mar Unit cost Economic'!K70),0),0)</f>
        <v>706</v>
      </c>
      <c r="F74" s="11">
        <f t="shared" si="6"/>
        <v>0.83550295857988166</v>
      </c>
      <c r="G74" s="9">
        <f>ROUND(IFERROR(N('Jan-Mar Unit cost Economic'!N70),0),0)</f>
        <v>297</v>
      </c>
      <c r="H74" s="12">
        <f t="shared" si="7"/>
        <v>-241</v>
      </c>
      <c r="I74" s="12">
        <f t="shared" si="8"/>
        <v>-241</v>
      </c>
    </row>
    <row r="75" spans="1:9" x14ac:dyDescent="0.35">
      <c r="A75" s="8" t="str">
        <f>'Jan-Mar Unit cost Economic'!B71</f>
        <v>Dabble Flip Flap Dress-Up Your Own Unicorn &amp; Princesses | Travel-Friendly No Mess DIY Activity Set</v>
      </c>
      <c r="B75" s="9">
        <f>IF(ISNUMBER('Jan-Mar Unit cost Economic'!E71),'Jan-Mar Unit cost Economic'!E71,"n/a")</f>
        <v>549</v>
      </c>
      <c r="C75" s="10">
        <f>IFERROR(N('Jan-Mar Unit cost Economic'!R71),0)</f>
        <v>2</v>
      </c>
      <c r="D75" s="9">
        <f>IFERROR(N('Jan-Mar Unit cost Economic'!D71),0)</f>
        <v>844</v>
      </c>
      <c r="E75" s="9">
        <f>ROUND(IFERROR(N('Jan-Mar Unit cost Economic'!K71),0),0)</f>
        <v>349</v>
      </c>
      <c r="F75" s="11">
        <f t="shared" si="6"/>
        <v>0.82701421800947872</v>
      </c>
      <c r="G75" s="9">
        <f>ROUND(IFERROR(N('Jan-Mar Unit cost Economic'!N71),0),0)</f>
        <v>0</v>
      </c>
      <c r="H75" s="12">
        <f t="shared" si="7"/>
        <v>-301</v>
      </c>
      <c r="I75" s="12">
        <f t="shared" si="8"/>
        <v>-602</v>
      </c>
    </row>
    <row r="76" spans="1:9" x14ac:dyDescent="0.35">
      <c r="A76" s="8" t="str">
        <f>'Jan-Mar Unit cost Economic'!B72</f>
        <v>Numbers 1-10 Printable Activity Pack</v>
      </c>
      <c r="B76" s="9">
        <f>IF(ISNUMBER('Jan-Mar Unit cost Economic'!E72),'Jan-Mar Unit cost Economic'!E72,"n/a")</f>
        <v>99</v>
      </c>
      <c r="C76" s="10">
        <f>IFERROR(N('Jan-Mar Unit cost Economic'!R72),0)</f>
        <v>8</v>
      </c>
      <c r="D76" s="9">
        <f>IFERROR(N('Jan-Mar Unit cost Economic'!D72),0)</f>
        <v>791.99990000000003</v>
      </c>
      <c r="E76" s="9">
        <f>ROUND(IFERROR(N('Jan-Mar Unit cost Economic'!K72),0),0)</f>
        <v>76</v>
      </c>
      <c r="F76" s="11">
        <f t="shared" si="6"/>
        <v>0.76767686460566464</v>
      </c>
      <c r="G76" s="9">
        <f>ROUND(IFERROR(N('Jan-Mar Unit cost Economic'!N72),0),0)</f>
        <v>0</v>
      </c>
      <c r="H76" s="12">
        <f t="shared" si="7"/>
        <v>-574</v>
      </c>
      <c r="I76" s="12">
        <f t="shared" si="8"/>
        <v>-4592</v>
      </c>
    </row>
    <row r="77" spans="1:9" x14ac:dyDescent="0.35">
      <c r="A77" s="8" t="str">
        <f>'Jan-Mar Unit cost Economic'!B73</f>
        <v>Dabble Reusable Colouring Pages + Glue Combo Kit</v>
      </c>
      <c r="B77" s="9">
        <f>IF(ISNUMBER('Jan-Mar Unit cost Economic'!E73),'Jan-Mar Unit cost Economic'!E73,"n/a")</f>
        <v>748</v>
      </c>
      <c r="C77" s="10">
        <f>IFERROR(N('Jan-Mar Unit cost Economic'!R73),0)</f>
        <v>1</v>
      </c>
      <c r="D77" s="9">
        <f>IFERROR(N('Jan-Mar Unit cost Economic'!D73),0)</f>
        <v>710</v>
      </c>
      <c r="E77" s="9">
        <f>ROUND(IFERROR(N('Jan-Mar Unit cost Economic'!K73),0),0)</f>
        <v>515</v>
      </c>
      <c r="F77" s="11">
        <f t="shared" si="6"/>
        <v>0.72535211267605637</v>
      </c>
      <c r="G77" s="9">
        <f>ROUND(IFERROR(N('Jan-Mar Unit cost Economic'!N73),0),0)</f>
        <v>324</v>
      </c>
      <c r="H77" s="12">
        <f t="shared" si="7"/>
        <v>-459</v>
      </c>
      <c r="I77" s="12">
        <f t="shared" si="8"/>
        <v>-459</v>
      </c>
    </row>
    <row r="78" spans="1:9" x14ac:dyDescent="0.35">
      <c r="A78" s="8" t="str">
        <f>'Jan-Mar Unit cost Economic'!B75</f>
        <v>Dabble Flip Flap Make Your Own Dinosaur | Travel-Friendly No Mess DIY Activity Set</v>
      </c>
      <c r="B78" s="9">
        <f>IF(ISNUMBER('Jan-Mar Unit cost Economic'!E75),'Jan-Mar Unit cost Economic'!E75,"n/a")</f>
        <v>549</v>
      </c>
      <c r="C78" s="10">
        <f>IFERROR(N('Jan-Mar Unit cost Economic'!R75),0)</f>
        <v>1</v>
      </c>
      <c r="D78" s="9">
        <f>IFERROR(N('Jan-Mar Unit cost Economic'!D75),0)</f>
        <v>549</v>
      </c>
      <c r="E78" s="9">
        <f>ROUND(IFERROR(N('Jan-Mar Unit cost Economic'!K75),0),0)</f>
        <v>448</v>
      </c>
      <c r="F78" s="11">
        <f t="shared" si="6"/>
        <v>0.81602914389799641</v>
      </c>
      <c r="G78" s="9">
        <f>ROUND(IFERROR(N('Jan-Mar Unit cost Economic'!N75),0),0)</f>
        <v>0</v>
      </c>
      <c r="H78" s="12">
        <f t="shared" si="7"/>
        <v>-202</v>
      </c>
      <c r="I78" s="12">
        <f t="shared" si="8"/>
        <v>-202</v>
      </c>
    </row>
    <row r="79" spans="1:9" x14ac:dyDescent="0.35">
      <c r="A79" s="8" t="str">
        <f>'Jan-Mar Unit cost Economic'!B76</f>
        <v>Palette &amp; Brush</v>
      </c>
      <c r="B79" s="9">
        <f>IF(ISNUMBER('Jan-Mar Unit cost Economic'!E76),'Jan-Mar Unit cost Economic'!E76,"n/a")</f>
        <v>299</v>
      </c>
      <c r="C79" s="10">
        <f>IFERROR(N('Jan-Mar Unit cost Economic'!R76),0)</f>
        <v>1</v>
      </c>
      <c r="D79" s="9">
        <f>IFERROR(N('Jan-Mar Unit cost Economic'!D76),0)</f>
        <v>299</v>
      </c>
      <c r="E79" s="9">
        <f>ROUND(IFERROR(N('Jan-Mar Unit cost Economic'!K76),0),0)</f>
        <v>206</v>
      </c>
      <c r="F79" s="11">
        <f t="shared" si="6"/>
        <v>0.68896321070234112</v>
      </c>
      <c r="G79" s="9">
        <f>ROUND(IFERROR(N('Jan-Mar Unit cost Economic'!N76),0),0)</f>
        <v>0</v>
      </c>
      <c r="H79" s="12">
        <f t="shared" si="7"/>
        <v>-444</v>
      </c>
      <c r="I79" s="12">
        <f t="shared" si="8"/>
        <v>-444</v>
      </c>
    </row>
    <row r="81" spans="1:9" x14ac:dyDescent="0.35">
      <c r="A81" s="13" t="s">
        <v>211</v>
      </c>
      <c r="B81" s="13" t="s">
        <v>212</v>
      </c>
      <c r="C81" s="14">
        <f>SUM(C6:C79)</f>
        <v>3206</v>
      </c>
      <c r="D81" s="15">
        <f>SUM(D6:D79)</f>
        <v>2614540.5200000005</v>
      </c>
      <c r="E81" s="15">
        <f>ROUND(IFERROR(SUMPRODUCT(E6:E79,C6:C79)/C81,0),0)</f>
        <v>564</v>
      </c>
      <c r="F81" s="16">
        <f>IFERROR(E81/(D81/C81),0)</f>
        <v>0.69158767522180131</v>
      </c>
      <c r="G81" s="15">
        <f>ROUND(IFERROR(SUMPRODUCT(G6:G79,C6:C79)/C81,0),0)</f>
        <v>140</v>
      </c>
      <c r="H81" s="17">
        <f>ROUND(IFERROR(I81/C81,0),0)</f>
        <v>-226</v>
      </c>
      <c r="I81" s="17">
        <f>SUM(I6:I79)</f>
        <v>-724822</v>
      </c>
    </row>
  </sheetData>
  <conditionalFormatting sqref="H6:I79">
    <cfRule type="cellIs" dxfId="3" priority="2" operator="greaterThan">
      <formula>0</formula>
    </cfRule>
    <cfRule type="cellIs" dxfId="2" priority="3" operator="lessThan">
      <formula>0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77"/>
  <sheetViews>
    <sheetView showGridLines="0" tabSelected="1" zoomScaleNormal="100" workbookViewId="0">
      <pane ySplit="5" topLeftCell="A6" activePane="bottomLeft" state="frozen"/>
      <selection pane="bottomLeft" activeCell="A9" sqref="A9"/>
    </sheetView>
  </sheetViews>
  <sheetFormatPr defaultColWidth="8.6328125" defaultRowHeight="14.5" x14ac:dyDescent="0.35"/>
  <cols>
    <col min="1" max="1" width="52" customWidth="1"/>
    <col min="2" max="3" width="12" customWidth="1"/>
    <col min="4" max="4" width="14" customWidth="1"/>
    <col min="5" max="5" width="13" customWidth="1"/>
    <col min="6" max="6" width="10" customWidth="1"/>
    <col min="7" max="7" width="16" customWidth="1"/>
    <col min="8" max="8" width="20" customWidth="1"/>
    <col min="9" max="9" width="16" customWidth="1"/>
  </cols>
  <sheetData>
    <row r="1" spans="1:9" ht="18" x14ac:dyDescent="0.4">
      <c r="A1" s="4" t="s">
        <v>213</v>
      </c>
    </row>
    <row r="2" spans="1:9" x14ac:dyDescent="0.35">
      <c r="A2" s="5"/>
    </row>
    <row r="3" spans="1:9" x14ac:dyDescent="0.35">
      <c r="A3" s="6" t="s">
        <v>201</v>
      </c>
      <c r="D3" s="7">
        <v>595</v>
      </c>
      <c r="E3" s="5"/>
    </row>
    <row r="5" spans="1:9" ht="31.5" customHeight="1" x14ac:dyDescent="0.35">
      <c r="A5" s="18" t="s">
        <v>202</v>
      </c>
      <c r="B5" s="18" t="s">
        <v>203</v>
      </c>
      <c r="C5" s="18" t="s">
        <v>204</v>
      </c>
      <c r="D5" s="18" t="s">
        <v>205</v>
      </c>
      <c r="E5" s="18" t="s">
        <v>206</v>
      </c>
      <c r="F5" s="18" t="s">
        <v>207</v>
      </c>
      <c r="G5" s="18" t="s">
        <v>208</v>
      </c>
      <c r="H5" s="18" t="s">
        <v>209</v>
      </c>
      <c r="I5" s="18" t="s">
        <v>210</v>
      </c>
    </row>
    <row r="6" spans="1:9" x14ac:dyDescent="0.35">
      <c r="A6" s="8" t="str">
        <f>'April-June Unit Cost Ecomomic'!B2</f>
        <v>Magic Paint Dust – Baby’s First Painting Kit</v>
      </c>
      <c r="B6" s="9">
        <f>IF(ISNUMBER('April-June Unit Cost Ecomomic'!E2),'April-June Unit Cost Ecomomic'!E2,"n/a")</f>
        <v>899</v>
      </c>
      <c r="C6" s="10">
        <f>IFERROR(N('April-June Unit Cost Ecomomic'!R2),0)</f>
        <v>221</v>
      </c>
      <c r="D6" s="9">
        <f>IFERROR(N('April-June Unit Cost Ecomomic'!D2),0)</f>
        <v>192044</v>
      </c>
      <c r="E6" s="9">
        <f>ROUND(IFERROR(N('April-June Unit Cost Ecomomic'!K2),0),0)</f>
        <v>620</v>
      </c>
      <c r="F6" s="11">
        <f t="shared" ref="F6:F37" si="0">IFERROR(E6/(D6/C6),0)</f>
        <v>0.71348232696673686</v>
      </c>
      <c r="G6" s="9">
        <f>ROUND(IFERROR(N('April-June Unit Cost Ecomomic'!N2),0),0)</f>
        <v>151</v>
      </c>
      <c r="H6" s="12">
        <f t="shared" ref="H6:H37" si="1">ROUND(E6-$D$3-G6,0)</f>
        <v>-126</v>
      </c>
      <c r="I6" s="12">
        <f t="shared" ref="I6:I37" si="2">ROUND(H6*C6,0)</f>
        <v>-27846</v>
      </c>
    </row>
    <row r="7" spans="1:9" x14ac:dyDescent="0.35">
      <c r="A7" s="8" t="str">
        <f>'April-June Unit Cost Ecomomic'!B3</f>
        <v>dabble Sensory Playdough</v>
      </c>
      <c r="B7" s="9">
        <f>IF(ISNUMBER('April-June Unit Cost Ecomomic'!E3),'April-June Unit Cost Ecomomic'!E3,"n/a")</f>
        <v>899</v>
      </c>
      <c r="C7" s="10">
        <f>IFERROR(N('April-June Unit Cost Ecomomic'!R3),0)</f>
        <v>214</v>
      </c>
      <c r="D7" s="9">
        <f>IFERROR(N('April-June Unit Cost Ecomomic'!D3),0)</f>
        <v>190336</v>
      </c>
      <c r="E7" s="9">
        <f>ROUND(IFERROR(N('April-June Unit Cost Ecomomic'!K3),0),0)</f>
        <v>621</v>
      </c>
      <c r="F7" s="11">
        <f t="shared" si="0"/>
        <v>0.69820738063214527</v>
      </c>
      <c r="G7" s="9">
        <f>ROUND(IFERROR(N('April-June Unit Cost Ecomomic'!N3),0),0)</f>
        <v>168</v>
      </c>
      <c r="H7" s="12">
        <f t="shared" si="1"/>
        <v>-142</v>
      </c>
      <c r="I7" s="12">
        <f t="shared" si="2"/>
        <v>-30388</v>
      </c>
    </row>
    <row r="8" spans="1:9" x14ac:dyDescent="0.35">
      <c r="A8" s="8" t="str">
        <f>'April-June Unit Cost Ecomomic'!B4</f>
        <v>Dabble Finger Painting Fun Pack</v>
      </c>
      <c r="B8" s="9">
        <f>IF(ISNUMBER('April-June Unit Cost Ecomomic'!E4),'April-June Unit Cost Ecomomic'!E4,"n/a")</f>
        <v>1348</v>
      </c>
      <c r="C8" s="10">
        <f>IFERROR(N('April-June Unit Cost Ecomomic'!R4),0)</f>
        <v>122</v>
      </c>
      <c r="D8" s="9">
        <f>IFERROR(N('April-June Unit Cost Ecomomic'!D4),0)</f>
        <v>157681</v>
      </c>
      <c r="E8" s="9">
        <f>ROUND(IFERROR(N('April-June Unit Cost Ecomomic'!K4),0),0)</f>
        <v>882</v>
      </c>
      <c r="F8" s="11">
        <f t="shared" si="0"/>
        <v>0.68241576347181976</v>
      </c>
      <c r="G8" s="9">
        <f>ROUND(IFERROR(N('April-June Unit Cost Ecomomic'!N4),0),0)</f>
        <v>189</v>
      </c>
      <c r="H8" s="12">
        <f t="shared" si="1"/>
        <v>98</v>
      </c>
      <c r="I8" s="12">
        <f t="shared" si="2"/>
        <v>11956</v>
      </c>
    </row>
    <row r="9" spans="1:9" x14ac:dyDescent="0.35">
      <c r="A9" s="8" t="str">
        <f>'April-June Unit Cost Ecomomic'!B5</f>
        <v>Babyâ€™s first handprint and footprint kit</v>
      </c>
      <c r="B9" s="9">
        <f>IF(ISNUMBER('April-June Unit Cost Ecomomic'!E5),'April-June Unit Cost Ecomomic'!E5,"n/a")</f>
        <v>649</v>
      </c>
      <c r="C9" s="10">
        <f>IFERROR(N('April-June Unit Cost Ecomomic'!R5),0)</f>
        <v>160</v>
      </c>
      <c r="D9" s="9">
        <f>IFERROR(N('April-June Unit Cost Ecomomic'!D5),0)</f>
        <v>113540</v>
      </c>
      <c r="E9" s="9">
        <f>ROUND(IFERROR(N('April-June Unit Cost Ecomomic'!K5),0),0)</f>
        <v>467</v>
      </c>
      <c r="F9" s="11">
        <f t="shared" si="0"/>
        <v>0.6580940637660736</v>
      </c>
      <c r="G9" s="9">
        <f>ROUND(IFERROR(N('April-June Unit Cost Ecomomic'!N5),0),0)</f>
        <v>171</v>
      </c>
      <c r="H9" s="12">
        <f t="shared" si="1"/>
        <v>-299</v>
      </c>
      <c r="I9" s="12">
        <f t="shared" si="2"/>
        <v>-47840</v>
      </c>
    </row>
    <row r="10" spans="1:9" x14ac:dyDescent="0.35">
      <c r="A10" s="8" t="str">
        <f>'April-June Unit Cost Ecomomic'!B6</f>
        <v>Mini Starter Finger Painting Fun Pack</v>
      </c>
      <c r="B10" s="9">
        <f>IF(ISNUMBER('April-June Unit Cost Ecomomic'!E6),'April-June Unit Cost Ecomomic'!E6,"n/a")</f>
        <v>599</v>
      </c>
      <c r="C10" s="10">
        <f>IFERROR(N('April-June Unit Cost Ecomomic'!R6),0)</f>
        <v>171</v>
      </c>
      <c r="D10" s="9">
        <f>IFERROR(N('April-June Unit Cost Ecomomic'!D6),0)</f>
        <v>101319</v>
      </c>
      <c r="E10" s="9">
        <f>ROUND(IFERROR(N('April-June Unit Cost Ecomomic'!K6),0),0)</f>
        <v>407</v>
      </c>
      <c r="F10" s="11">
        <f t="shared" si="0"/>
        <v>0.68690966156397126</v>
      </c>
      <c r="G10" s="9">
        <f>ROUND(IFERROR(N('April-June Unit Cost Ecomomic'!N6),0),0)</f>
        <v>176</v>
      </c>
      <c r="H10" s="12">
        <f t="shared" si="1"/>
        <v>-364</v>
      </c>
      <c r="I10" s="12">
        <f t="shared" si="2"/>
        <v>-62244</v>
      </c>
    </row>
    <row r="11" spans="1:9" x14ac:dyDescent="0.35">
      <c r="A11" s="8" t="str">
        <f>'April-June Unit Cost Ecomomic'!B10</f>
        <v>Dabble Starter Painting + Chubby Brush Combo Kit</v>
      </c>
      <c r="B11" s="9">
        <f>IF(ISNUMBER('April-June Unit Cost Ecomomic'!E10),'April-June Unit Cost Ecomomic'!E10,"n/a")</f>
        <v>1048</v>
      </c>
      <c r="C11" s="10">
        <f>IFERROR(N('April-June Unit Cost Ecomomic'!R10),0)</f>
        <v>90</v>
      </c>
      <c r="D11" s="9">
        <f>IFERROR(N('April-June Unit Cost Ecomomic'!D10),0)</f>
        <v>90842</v>
      </c>
      <c r="E11" s="9">
        <f>ROUND(IFERROR(N('April-June Unit Cost Ecomomic'!K10),0),0)</f>
        <v>706</v>
      </c>
      <c r="F11" s="11">
        <f t="shared" si="0"/>
        <v>0.69945619867462183</v>
      </c>
      <c r="G11" s="9">
        <f>ROUND(IFERROR(N('April-June Unit Cost Ecomomic'!N10),0),0)</f>
        <v>142</v>
      </c>
      <c r="H11" s="12">
        <f t="shared" si="1"/>
        <v>-31</v>
      </c>
      <c r="I11" s="12">
        <f t="shared" si="2"/>
        <v>-2790</v>
      </c>
    </row>
    <row r="12" spans="1:9" x14ac:dyDescent="0.35">
      <c r="A12" s="8" t="str">
        <f>'April-June Unit Cost Ecomomic'!B9</f>
        <v>Little Artist Combo Kit</v>
      </c>
      <c r="B12" s="9">
        <f>IF(ISNUMBER('April-June Unit Cost Ecomomic'!E9),'April-June Unit Cost Ecomomic'!E9,"n/a")</f>
        <v>1797</v>
      </c>
      <c r="C12" s="10">
        <f>IFERROR(N('April-June Unit Cost Ecomomic'!R9),0)</f>
        <v>47</v>
      </c>
      <c r="D12" s="9">
        <f>IFERROR(N('April-June Unit Cost Ecomomic'!D9),0)</f>
        <v>81477</v>
      </c>
      <c r="E12" s="9">
        <f>ROUND(IFERROR(N('April-June Unit Cost Ecomomic'!K9),0),0)</f>
        <v>1233</v>
      </c>
      <c r="F12" s="11">
        <f t="shared" si="0"/>
        <v>0.71125593725836733</v>
      </c>
      <c r="G12" s="9">
        <f>ROUND(IFERROR(N('April-June Unit Cost Ecomomic'!N9),0),0)</f>
        <v>171</v>
      </c>
      <c r="H12" s="12">
        <f t="shared" si="1"/>
        <v>467</v>
      </c>
      <c r="I12" s="12">
        <f t="shared" si="2"/>
        <v>21949</v>
      </c>
    </row>
    <row r="13" spans="1:9" x14ac:dyDescent="0.35">
      <c r="A13" s="8" t="str">
        <f>'April-June Unit Cost Ecomomic'!B15</f>
        <v>Masterpiece Set</v>
      </c>
      <c r="B13" s="9">
        <f>IF(ISNUMBER('April-June Unit Cost Ecomomic'!E15),'April-June Unit Cost Ecomomic'!E15,"n/a")</f>
        <v>2047</v>
      </c>
      <c r="C13" s="10">
        <f>IFERROR(N('April-June Unit Cost Ecomomic'!R15),0)</f>
        <v>41</v>
      </c>
      <c r="D13" s="9">
        <f>IFERROR(N('April-June Unit Cost Ecomomic'!D15),0)</f>
        <v>80419</v>
      </c>
      <c r="E13" s="9">
        <f>ROUND(IFERROR(N('April-June Unit Cost Ecomomic'!K15),0),0)</f>
        <v>1372</v>
      </c>
      <c r="F13" s="11">
        <f t="shared" si="0"/>
        <v>0.69948643977169578</v>
      </c>
      <c r="G13" s="9">
        <f>ROUND(IFERROR(N('April-June Unit Cost Ecomomic'!N15),0),0)</f>
        <v>241</v>
      </c>
      <c r="H13" s="12">
        <f t="shared" si="1"/>
        <v>536</v>
      </c>
      <c r="I13" s="12">
        <f t="shared" si="2"/>
        <v>21976</v>
      </c>
    </row>
    <row r="14" spans="1:9" x14ac:dyDescent="0.35">
      <c r="A14" s="8" t="str">
        <f>'April-June Unit Cost Ecomomic'!B7</f>
        <v>Babyâ€™s Starter Painting + Jumbo Brush Combo Kit</v>
      </c>
      <c r="B14" s="9">
        <f>IF(ISNUMBER('April-June Unit Cost Ecomomic'!E7),'April-June Unit Cost Ecomomic'!E7,"n/a")</f>
        <v>1098</v>
      </c>
      <c r="C14" s="10">
        <f>IFERROR(N('April-June Unit Cost Ecomomic'!R7),0)</f>
        <v>75</v>
      </c>
      <c r="D14" s="9">
        <f>IFERROR(N('April-June Unit Cost Ecomomic'!D7),0)</f>
        <v>79281</v>
      </c>
      <c r="E14" s="9">
        <f>ROUND(IFERROR(N('April-June Unit Cost Ecomomic'!K7),0),0)</f>
        <v>796</v>
      </c>
      <c r="F14" s="11">
        <f t="shared" si="0"/>
        <v>0.75301774700117308</v>
      </c>
      <c r="G14" s="9">
        <f>ROUND(IFERROR(N('April-June Unit Cost Ecomomic'!N7),0),0)</f>
        <v>154</v>
      </c>
      <c r="H14" s="12">
        <f t="shared" si="1"/>
        <v>47</v>
      </c>
      <c r="I14" s="12">
        <f t="shared" si="2"/>
        <v>3525</v>
      </c>
    </row>
    <row r="15" spans="1:9" x14ac:dyDescent="0.35">
      <c r="A15" s="8" t="str">
        <f>'April-June Unit Cost Ecomomic'!B8</f>
        <v>Dabble Playart Chunkies</v>
      </c>
      <c r="B15" s="9">
        <f>IF(ISNUMBER('April-June Unit Cost Ecomomic'!E8),'April-June Unit Cost Ecomomic'!E8,"n/a")</f>
        <v>549</v>
      </c>
      <c r="C15" s="10">
        <f>IFERROR(N('April-June Unit Cost Ecomomic'!R8),0)</f>
        <v>129</v>
      </c>
      <c r="D15" s="9">
        <f>IFERROR(N('April-June Unit Cost Ecomomic'!D8),0)</f>
        <v>70821</v>
      </c>
      <c r="E15" s="9">
        <f>ROUND(IFERROR(N('April-June Unit Cost Ecomomic'!K8),0),0)</f>
        <v>389</v>
      </c>
      <c r="F15" s="11">
        <f t="shared" si="0"/>
        <v>0.70856102003642984</v>
      </c>
      <c r="G15" s="9">
        <f>ROUND(IFERROR(N('April-June Unit Cost Ecomomic'!N8),0),0)</f>
        <v>97</v>
      </c>
      <c r="H15" s="12">
        <f t="shared" si="1"/>
        <v>-303</v>
      </c>
      <c r="I15" s="12">
        <f t="shared" si="2"/>
        <v>-39087</v>
      </c>
    </row>
    <row r="16" spans="1:9" x14ac:dyDescent="0.35">
      <c r="A16" s="8" t="str">
        <f>'April-June Unit Cost Ecomomic'!B11</f>
        <v>Dabble Finger Paints For Toddlers</v>
      </c>
      <c r="B16" s="9">
        <f>IF(ISNUMBER('April-June Unit Cost Ecomomic'!E11),'April-June Unit Cost Ecomomic'!E11,"n/a")</f>
        <v>649</v>
      </c>
      <c r="C16" s="10">
        <f>IFERROR(N('April-June Unit Cost Ecomomic'!R11),0)</f>
        <v>101</v>
      </c>
      <c r="D16" s="9">
        <f>IFERROR(N('April-June Unit Cost Ecomomic'!D11),0)</f>
        <v>63589</v>
      </c>
      <c r="E16" s="9">
        <f>ROUND(IFERROR(N('April-June Unit Cost Ecomomic'!K11),0),0)</f>
        <v>473</v>
      </c>
      <c r="F16" s="11">
        <f t="shared" si="0"/>
        <v>0.75127773671546971</v>
      </c>
      <c r="G16" s="9">
        <f>ROUND(IFERROR(N('April-June Unit Cost Ecomomic'!N11),0),0)</f>
        <v>139</v>
      </c>
      <c r="H16" s="12">
        <f t="shared" si="1"/>
        <v>-261</v>
      </c>
      <c r="I16" s="12">
        <f t="shared" si="2"/>
        <v>-26361</v>
      </c>
    </row>
    <row r="17" spans="1:9" x14ac:dyDescent="0.35">
      <c r="A17" s="8" t="str">
        <f>'April-June Unit Cost Ecomomic'!B20</f>
        <v>My Dabble ABC Trace &amp; Colour Kit | Multi-Sensory Alphabet Learning for Kids</v>
      </c>
      <c r="B17" s="9">
        <f>IF(ISNUMBER('April-June Unit Cost Ecomomic'!E20),'April-June Unit Cost Ecomomic'!E20,"n/a")</f>
        <v>699</v>
      </c>
      <c r="C17" s="10">
        <f>IFERROR(N('April-June Unit Cost Ecomomic'!R20),0)</f>
        <v>98</v>
      </c>
      <c r="D17" s="9">
        <f>IFERROR(N('April-June Unit Cost Ecomomic'!D20),0)</f>
        <v>58562</v>
      </c>
      <c r="E17" s="9">
        <f>ROUND(IFERROR(N('April-June Unit Cost Ecomomic'!K20),0),0)</f>
        <v>476</v>
      </c>
      <c r="F17" s="11">
        <f t="shared" si="0"/>
        <v>0.79655749462108538</v>
      </c>
      <c r="G17" s="9">
        <f>ROUND(IFERROR(N('April-June Unit Cost Ecomomic'!N20),0),0)</f>
        <v>0</v>
      </c>
      <c r="H17" s="12">
        <f t="shared" si="1"/>
        <v>-119</v>
      </c>
      <c r="I17" s="12">
        <f t="shared" si="2"/>
        <v>-11662</v>
      </c>
    </row>
    <row r="18" spans="1:9" x14ac:dyDescent="0.35">
      <c r="A18" s="8" t="str">
        <f>'April-June Unit Cost Ecomomic'!B21</f>
        <v>Dabble Playart Finger Paints</v>
      </c>
      <c r="B18" s="9">
        <f>IF(ISNUMBER('April-June Unit Cost Ecomomic'!E21),'April-June Unit Cost Ecomomic'!E21,"n/a")</f>
        <v>899</v>
      </c>
      <c r="C18" s="10">
        <f>IFERROR(N('April-June Unit Cost Ecomomic'!R21),0)</f>
        <v>60</v>
      </c>
      <c r="D18" s="9">
        <f>IFERROR(N('April-June Unit Cost Ecomomic'!D21),0)</f>
        <v>53295</v>
      </c>
      <c r="E18" s="9">
        <f>ROUND(IFERROR(N('April-June Unit Cost Ecomomic'!K21),0),0)</f>
        <v>628</v>
      </c>
      <c r="F18" s="11">
        <f t="shared" si="0"/>
        <v>0.70700816211652129</v>
      </c>
      <c r="G18" s="9">
        <f>ROUND(IFERROR(N('April-June Unit Cost Ecomomic'!N21),0),0)</f>
        <v>199</v>
      </c>
      <c r="H18" s="12">
        <f t="shared" si="1"/>
        <v>-166</v>
      </c>
      <c r="I18" s="12">
        <f t="shared" si="2"/>
        <v>-9960</v>
      </c>
    </row>
    <row r="19" spans="1:9" x14ac:dyDescent="0.35">
      <c r="A19" s="8" t="str">
        <f>'April-June Unit Cost Ecomomic'!B12</f>
        <v>Dabble Art Roll</v>
      </c>
      <c r="B19" s="9">
        <f>IF(ISNUMBER('April-June Unit Cost Ecomomic'!E12),'April-June Unit Cost Ecomomic'!E12,"n/a")</f>
        <v>699</v>
      </c>
      <c r="C19" s="10">
        <f>IFERROR(N('April-June Unit Cost Ecomomic'!R12),0)</f>
        <v>72</v>
      </c>
      <c r="D19" s="9">
        <f>IFERROR(N('April-June Unit Cost Ecomomic'!D12),0)</f>
        <v>50328</v>
      </c>
      <c r="E19" s="9">
        <f>ROUND(IFERROR(N('April-June Unit Cost Ecomomic'!K12),0),0)</f>
        <v>447</v>
      </c>
      <c r="F19" s="11">
        <f t="shared" si="0"/>
        <v>0.63948497854077258</v>
      </c>
      <c r="G19" s="9">
        <f>ROUND(IFERROR(N('April-June Unit Cost Ecomomic'!N12),0),0)</f>
        <v>145</v>
      </c>
      <c r="H19" s="12">
        <f t="shared" si="1"/>
        <v>-293</v>
      </c>
      <c r="I19" s="12">
        <f t="shared" si="2"/>
        <v>-21096</v>
      </c>
    </row>
    <row r="20" spans="1:9" x14ac:dyDescent="0.35">
      <c r="A20" s="8" t="str">
        <f>'April-June Unit Cost Ecomomic'!B13</f>
        <v>Magic Paint Dust + Jumbo Brush Combo Kit â€“ Babyâ€™s First Painting Kit</v>
      </c>
      <c r="B20" s="9">
        <f>IF(ISNUMBER('April-June Unit Cost Ecomomic'!E13),'April-June Unit Cost Ecomomic'!E13,"n/a")</f>
        <v>1398</v>
      </c>
      <c r="C20" s="10">
        <f>IFERROR(N('April-June Unit Cost Ecomomic'!R13),0)</f>
        <v>34</v>
      </c>
      <c r="D20" s="9">
        <f>IFERROR(N('April-June Unit Cost Ecomomic'!D13),0)</f>
        <v>45782</v>
      </c>
      <c r="E20" s="9">
        <f>ROUND(IFERROR(N('April-June Unit Cost Ecomomic'!K13),0),0)</f>
        <v>975</v>
      </c>
      <c r="F20" s="11">
        <f t="shared" si="0"/>
        <v>0.72408370101786734</v>
      </c>
      <c r="G20" s="9">
        <f>ROUND(IFERROR(N('April-June Unit Cost Ecomomic'!N13),0),0)</f>
        <v>145</v>
      </c>
      <c r="H20" s="12">
        <f t="shared" si="1"/>
        <v>235</v>
      </c>
      <c r="I20" s="12">
        <f t="shared" si="2"/>
        <v>7990</v>
      </c>
    </row>
    <row r="21" spans="1:9" x14ac:dyDescent="0.35">
      <c r="A21" s="8" t="str">
        <f>'April-June Unit Cost Ecomomic'!B19</f>
        <v>Dabble Painting Art Apron</v>
      </c>
      <c r="B21" s="9">
        <f>IF(ISNUMBER('April-June Unit Cost Ecomomic'!E19),'April-June Unit Cost Ecomomic'!E19,"n/a")</f>
        <v>799</v>
      </c>
      <c r="C21" s="10">
        <f>IFERROR(N('April-June Unit Cost Ecomomic'!R19),0)</f>
        <v>50</v>
      </c>
      <c r="D21" s="9">
        <f>IFERROR(N('April-June Unit Cost Ecomomic'!D19),0)</f>
        <v>38751.5</v>
      </c>
      <c r="E21" s="9">
        <f>ROUND(IFERROR(N('April-June Unit Cost Ecomomic'!K19),0),0)</f>
        <v>444</v>
      </c>
      <c r="F21" s="11">
        <f t="shared" si="0"/>
        <v>0.57288104976581555</v>
      </c>
      <c r="G21" s="9">
        <f>ROUND(IFERROR(N('April-June Unit Cost Ecomomic'!N19),0),0)</f>
        <v>110</v>
      </c>
      <c r="H21" s="12">
        <f t="shared" si="1"/>
        <v>-261</v>
      </c>
      <c r="I21" s="12">
        <f t="shared" si="2"/>
        <v>-13050</v>
      </c>
    </row>
    <row r="22" spans="1:9" x14ac:dyDescent="0.35">
      <c r="A22" s="8" t="str">
        <f>'April-June Unit Cost Ecomomic'!B16</f>
        <v>Magic Paint Dust + PlayArt Roll â€“ Babyâ€™s First Painting Kit</v>
      </c>
      <c r="B22" s="9">
        <f>IF(ISNUMBER('April-June Unit Cost Ecomomic'!E16),'April-June Unit Cost Ecomomic'!E16,"n/a")</f>
        <v>1598</v>
      </c>
      <c r="C22" s="10">
        <f>IFERROR(N('April-June Unit Cost Ecomomic'!R16),0)</f>
        <v>25</v>
      </c>
      <c r="D22" s="9">
        <f>IFERROR(N('April-June Unit Cost Ecomomic'!D16),0)</f>
        <v>38622</v>
      </c>
      <c r="E22" s="9">
        <f>ROUND(IFERROR(N('April-June Unit Cost Ecomomic'!K16),0),0)</f>
        <v>1055</v>
      </c>
      <c r="F22" s="11">
        <f t="shared" si="0"/>
        <v>0.68290093728962764</v>
      </c>
      <c r="G22" s="9">
        <f>ROUND(IFERROR(N('April-June Unit Cost Ecomomic'!N16),0),0)</f>
        <v>250</v>
      </c>
      <c r="H22" s="12">
        <f t="shared" si="1"/>
        <v>210</v>
      </c>
      <c r="I22" s="12">
        <f t="shared" si="2"/>
        <v>5250</v>
      </c>
    </row>
    <row r="23" spans="1:9" x14ac:dyDescent="0.35">
      <c r="A23" s="8" t="str">
        <f>'April-June Unit Cost Ecomomic'!B29</f>
        <v>My First Shape Explorer Stamp Kit</v>
      </c>
      <c r="B23" s="9">
        <f>IF(ISNUMBER('April-June Unit Cost Ecomomic'!E29),'April-June Unit Cost Ecomomic'!E29,"n/a")</f>
        <v>999</v>
      </c>
      <c r="C23" s="10">
        <f>IFERROR(N('April-June Unit Cost Ecomomic'!R29),0)</f>
        <v>37</v>
      </c>
      <c r="D23" s="9">
        <f>IFERROR(N('April-June Unit Cost Ecomomic'!D29),0)</f>
        <v>36963</v>
      </c>
      <c r="E23" s="9">
        <f>ROUND(IFERROR(N('April-June Unit Cost Ecomomic'!K29),0),0)</f>
        <v>551</v>
      </c>
      <c r="F23" s="11">
        <f t="shared" si="0"/>
        <v>0.55155155155155156</v>
      </c>
      <c r="G23" s="9">
        <f>ROUND(IFERROR(N('April-June Unit Cost Ecomomic'!N29),0),0)</f>
        <v>138</v>
      </c>
      <c r="H23" s="12">
        <f t="shared" si="1"/>
        <v>-182</v>
      </c>
      <c r="I23" s="12">
        <f t="shared" si="2"/>
        <v>-6734</v>
      </c>
    </row>
    <row r="24" spans="1:9" x14ac:dyDescent="0.35">
      <c r="A24" s="8" t="str">
        <f>'April-June Unit Cost Ecomomic'!B25</f>
        <v>Preschool Art and Craft Kit</v>
      </c>
      <c r="B24" s="9">
        <f>IF(ISNUMBER('April-June Unit Cost Ecomomic'!E25),'April-June Unit Cost Ecomomic'!E25,"n/a")</f>
        <v>599</v>
      </c>
      <c r="C24" s="10">
        <f>IFERROR(N('April-June Unit Cost Ecomomic'!R25),0)</f>
        <v>61</v>
      </c>
      <c r="D24" s="9">
        <f>IFERROR(N('April-June Unit Cost Ecomomic'!D25),0)</f>
        <v>35911</v>
      </c>
      <c r="E24" s="9">
        <f>ROUND(IFERROR(N('April-June Unit Cost Ecomomic'!K25),0),0)</f>
        <v>341</v>
      </c>
      <c r="F24" s="11">
        <f t="shared" si="0"/>
        <v>0.57923755952215206</v>
      </c>
      <c r="G24" s="9">
        <f>ROUND(IFERROR(N('April-June Unit Cost Ecomomic'!N25),0),0)</f>
        <v>122</v>
      </c>
      <c r="H24" s="12">
        <f t="shared" si="1"/>
        <v>-376</v>
      </c>
      <c r="I24" s="12">
        <f t="shared" si="2"/>
        <v>-22936</v>
      </c>
    </row>
    <row r="25" spans="1:9" x14ac:dyDescent="0.35">
      <c r="A25" s="8" t="str">
        <f>'April-June Unit Cost Ecomomic'!B42</f>
        <v>Dabble Baby's First Big Colouring Pages</v>
      </c>
      <c r="B25" s="9">
        <f>IF(ISNUMBER('April-June Unit Cost Ecomomic'!E42),'April-June Unit Cost Ecomomic'!E42,"n/a")</f>
        <v>399</v>
      </c>
      <c r="C25" s="10">
        <f>IFERROR(N('April-June Unit Cost Ecomomic'!R42),0)</f>
        <v>37</v>
      </c>
      <c r="D25" s="9">
        <f>IFERROR(N('April-June Unit Cost Ecomomic'!D42),0)</f>
        <v>32903</v>
      </c>
      <c r="E25" s="9">
        <f>ROUND(IFERROR(N('April-June Unit Cost Ecomomic'!K42),0),0)</f>
        <v>266</v>
      </c>
      <c r="F25" s="11">
        <f t="shared" si="0"/>
        <v>0.29912166063884749</v>
      </c>
      <c r="G25" s="9">
        <f>ROUND(IFERROR(N('April-June Unit Cost Ecomomic'!N42),0),0)</f>
        <v>146</v>
      </c>
      <c r="H25" s="12">
        <f t="shared" si="1"/>
        <v>-475</v>
      </c>
      <c r="I25" s="12">
        <f t="shared" si="2"/>
        <v>-17575</v>
      </c>
    </row>
    <row r="26" spans="1:9" x14ac:dyDescent="0.35">
      <c r="A26" s="8" t="str">
        <f>'April-June Unit Cost Ecomomic'!B26</f>
        <v>My First Dabble Swinginâ€™ Jungle Adventure + Mini Starter Fun Pack + Chubby Brushes Combo</v>
      </c>
      <c r="B26" s="9">
        <f>IF(ISNUMBER('April-June Unit Cost Ecomomic'!E26),'April-June Unit Cost Ecomomic'!E26,"n/a")</f>
        <v>1547</v>
      </c>
      <c r="C26" s="10">
        <f>IFERROR(N('April-June Unit Cost Ecomomic'!R26),0)</f>
        <v>21</v>
      </c>
      <c r="D26" s="9">
        <f>IFERROR(N('April-June Unit Cost Ecomomic'!D26),0)</f>
        <v>31366</v>
      </c>
      <c r="E26" s="9">
        <f>ROUND(IFERROR(N('April-June Unit Cost Ecomomic'!K26),0),0)</f>
        <v>1067</v>
      </c>
      <c r="F26" s="11">
        <f t="shared" si="0"/>
        <v>0.71437225020723072</v>
      </c>
      <c r="G26" s="9">
        <f>ROUND(IFERROR(N('April-June Unit Cost Ecomomic'!N26),0),0)</f>
        <v>134</v>
      </c>
      <c r="H26" s="12">
        <f t="shared" si="1"/>
        <v>338</v>
      </c>
      <c r="I26" s="12">
        <f t="shared" si="2"/>
        <v>7098</v>
      </c>
    </row>
    <row r="27" spans="1:9" x14ac:dyDescent="0.35">
      <c r="A27" s="8" t="str">
        <f>'April-June Unit Cost Ecomomic'!B30</f>
        <v>Sensory Discovery Kit | Dabble Sensory Rice + Sensory Play Dough</v>
      </c>
      <c r="B27" s="9">
        <f>IF(ISNUMBER('April-June Unit Cost Ecomomic'!E30),'April-June Unit Cost Ecomomic'!E30,"n/a")</f>
        <v>1598</v>
      </c>
      <c r="C27" s="10">
        <f>IFERROR(N('April-June Unit Cost Ecomomic'!R30),0)</f>
        <v>20</v>
      </c>
      <c r="D27" s="9">
        <f>IFERROR(N('April-June Unit Cost Ecomomic'!D30),0)</f>
        <v>30792</v>
      </c>
      <c r="E27" s="9">
        <f>ROUND(IFERROR(N('April-June Unit Cost Ecomomic'!K30),0),0)</f>
        <v>1115</v>
      </c>
      <c r="F27" s="11">
        <f t="shared" si="0"/>
        <v>0.72421408157963107</v>
      </c>
      <c r="G27" s="9">
        <f>ROUND(IFERROR(N('April-June Unit Cost Ecomomic'!N30),0),0)</f>
        <v>157</v>
      </c>
      <c r="H27" s="12">
        <f t="shared" si="1"/>
        <v>363</v>
      </c>
      <c r="I27" s="12">
        <f t="shared" si="2"/>
        <v>7260</v>
      </c>
    </row>
    <row r="28" spans="1:9" x14ac:dyDescent="0.35">
      <c r="A28" s="8" t="str">
        <f>'April-June Unit Cost Ecomomic'!B14</f>
        <v>My First Dabble Swinginâ€™ Jungle Adventure + Crayons Combo</v>
      </c>
      <c r="B28" s="9">
        <f>IF(ISNUMBER('April-June Unit Cost Ecomomic'!E14),'April-June Unit Cost Ecomomic'!E14,"n/a")</f>
        <v>948</v>
      </c>
      <c r="C28" s="10">
        <f>IFERROR(N('April-June Unit Cost Ecomomic'!R14),0)</f>
        <v>29</v>
      </c>
      <c r="D28" s="9">
        <f>IFERROR(N('April-June Unit Cost Ecomomic'!D14),0)</f>
        <v>26411</v>
      </c>
      <c r="E28" s="9">
        <f>ROUND(IFERROR(N('April-June Unit Cost Ecomomic'!K14),0),0)</f>
        <v>641</v>
      </c>
      <c r="F28" s="11">
        <f t="shared" si="0"/>
        <v>0.70383552307750552</v>
      </c>
      <c r="G28" s="9">
        <f>ROUND(IFERROR(N('April-June Unit Cost Ecomomic'!N14),0),0)</f>
        <v>139</v>
      </c>
      <c r="H28" s="12">
        <f t="shared" si="1"/>
        <v>-93</v>
      </c>
      <c r="I28" s="12">
        <f t="shared" si="2"/>
        <v>-2697</v>
      </c>
    </row>
    <row r="29" spans="1:9" x14ac:dyDescent="0.35">
      <c r="A29" s="8" t="str">
        <f>'April-June Unit Cost Ecomomic'!B18</f>
        <v>Dabble Reusable Colouring Pages Kit</v>
      </c>
      <c r="B29" s="9">
        <f>IF(ISNUMBER('April-June Unit Cost Ecomomic'!E18),'April-June Unit Cost Ecomomic'!E18,"n/a")</f>
        <v>399</v>
      </c>
      <c r="C29" s="10">
        <f>IFERROR(N('April-June Unit Cost Ecomomic'!R18),0)</f>
        <v>67</v>
      </c>
      <c r="D29" s="9">
        <f>IFERROR(N('April-June Unit Cost Ecomomic'!D18),0)</f>
        <v>24159.9</v>
      </c>
      <c r="E29" s="9">
        <f>ROUND(IFERROR(N('April-June Unit Cost Ecomomic'!K18),0),0)</f>
        <v>275</v>
      </c>
      <c r="F29" s="11">
        <f t="shared" si="0"/>
        <v>0.76262732875549977</v>
      </c>
      <c r="G29" s="9">
        <f>ROUND(IFERROR(N('April-June Unit Cost Ecomomic'!N18),0),0)</f>
        <v>97</v>
      </c>
      <c r="H29" s="12">
        <f t="shared" si="1"/>
        <v>-417</v>
      </c>
      <c r="I29" s="12">
        <f t="shared" si="2"/>
        <v>-27939</v>
      </c>
    </row>
    <row r="30" spans="1:9" x14ac:dyDescent="0.35">
      <c r="A30" s="8" t="str">
        <f>'April-June Unit Cost Ecomomic'!B27</f>
        <v>Dabble Playart Crayons</v>
      </c>
      <c r="B30" s="9">
        <f>IF(ISNUMBER('April-June Unit Cost Ecomomic'!E27),'April-June Unit Cost Ecomomic'!E27,"n/a")</f>
        <v>449</v>
      </c>
      <c r="C30" s="10">
        <f>IFERROR(N('April-June Unit Cost Ecomomic'!R27),0)</f>
        <v>52</v>
      </c>
      <c r="D30" s="9">
        <f>IFERROR(N('April-June Unit Cost Ecomomic'!D27),0)</f>
        <v>23018</v>
      </c>
      <c r="E30" s="9">
        <f>ROUND(IFERROR(N('April-June Unit Cost Ecomomic'!K27),0),0)</f>
        <v>310</v>
      </c>
      <c r="F30" s="11">
        <f t="shared" si="0"/>
        <v>0.70032148753149714</v>
      </c>
      <c r="G30" s="9">
        <f>ROUND(IFERROR(N('April-June Unit Cost Ecomomic'!N27),0),0)</f>
        <v>101</v>
      </c>
      <c r="H30" s="12">
        <f t="shared" si="1"/>
        <v>-386</v>
      </c>
      <c r="I30" s="12">
        <f t="shared" si="2"/>
        <v>-20072</v>
      </c>
    </row>
    <row r="31" spans="1:9" x14ac:dyDescent="0.35">
      <c r="A31" s="8" t="str">
        <f>'April-June Unit Cost Ecomomic'!B23</f>
        <v>Dabble Magic Bubbles POP n PLAY</v>
      </c>
      <c r="B31" s="9">
        <f>IF(ISNUMBER('April-June Unit Cost Ecomomic'!E23),'April-June Unit Cost Ecomomic'!E23,"n/a")</f>
        <v>449</v>
      </c>
      <c r="C31" s="10">
        <f>IFERROR(N('April-June Unit Cost Ecomomic'!R23),0)</f>
        <v>48</v>
      </c>
      <c r="D31" s="9">
        <f>IFERROR(N('April-June Unit Cost Ecomomic'!D23),0)</f>
        <v>20025.400000000001</v>
      </c>
      <c r="E31" s="9">
        <f>ROUND(IFERROR(N('April-June Unit Cost Ecomomic'!K23),0),0)</f>
        <v>304</v>
      </c>
      <c r="F31" s="11">
        <f t="shared" si="0"/>
        <v>0.72867458327923529</v>
      </c>
      <c r="G31" s="9">
        <f>ROUND(IFERROR(N('April-June Unit Cost Ecomomic'!N23),0),0)</f>
        <v>101</v>
      </c>
      <c r="H31" s="12">
        <f t="shared" si="1"/>
        <v>-392</v>
      </c>
      <c r="I31" s="12">
        <f t="shared" si="2"/>
        <v>-18816</v>
      </c>
    </row>
    <row r="32" spans="1:9" x14ac:dyDescent="0.35">
      <c r="A32" s="8" t="str">
        <f>'April-June Unit Cost Ecomomic'!B28</f>
        <v>Dabble Sensory Rice Play Kit</v>
      </c>
      <c r="B32" s="9">
        <f>IF(ISNUMBER('April-June Unit Cost Ecomomic'!E28),'April-June Unit Cost Ecomomic'!E28,"n/a")</f>
        <v>699</v>
      </c>
      <c r="C32" s="10">
        <f>IFERROR(N('April-June Unit Cost Ecomomic'!R28),0)</f>
        <v>28</v>
      </c>
      <c r="D32" s="9">
        <f>IFERROR(N('April-June Unit Cost Ecomomic'!D28),0)</f>
        <v>19372</v>
      </c>
      <c r="E32" s="9">
        <f>ROUND(IFERROR(N('April-June Unit Cost Ecomomic'!K28),0),0)</f>
        <v>495</v>
      </c>
      <c r="F32" s="11">
        <f t="shared" si="0"/>
        <v>0.71546562048317153</v>
      </c>
      <c r="G32" s="9">
        <f>ROUND(IFERROR(N('April-June Unit Cost Ecomomic'!N28),0),0)</f>
        <v>123</v>
      </c>
      <c r="H32" s="12">
        <f t="shared" si="1"/>
        <v>-223</v>
      </c>
      <c r="I32" s="12">
        <f t="shared" si="2"/>
        <v>-6244</v>
      </c>
    </row>
    <row r="33" spans="1:9" x14ac:dyDescent="0.35">
      <c r="A33" s="8" t="str">
        <f>'April-June Unit Cost Ecomomic'!B22</f>
        <v>Imagination Spark Kit | Dabble Sensory Play Dough + Magic Paint Dust</v>
      </c>
      <c r="B33" s="9">
        <f>IF(ISNUMBER('April-June Unit Cost Ecomomic'!E22),'April-June Unit Cost Ecomomic'!E22,"n/a")</f>
        <v>1798</v>
      </c>
      <c r="C33" s="10">
        <f>IFERROR(N('April-June Unit Cost Ecomomic'!R22),0)</f>
        <v>11</v>
      </c>
      <c r="D33" s="9">
        <f>IFERROR(N('April-June Unit Cost Ecomomic'!D22),0)</f>
        <v>19004</v>
      </c>
      <c r="E33" s="9">
        <f>ROUND(IFERROR(N('April-June Unit Cost Ecomomic'!K22),0),0)</f>
        <v>1226</v>
      </c>
      <c r="F33" s="11">
        <f t="shared" si="0"/>
        <v>0.70964007577352128</v>
      </c>
      <c r="G33" s="9">
        <f>ROUND(IFERROR(N('April-June Unit Cost Ecomomic'!N22),0),0)</f>
        <v>158</v>
      </c>
      <c r="H33" s="12">
        <f t="shared" si="1"/>
        <v>473</v>
      </c>
      <c r="I33" s="12">
        <f t="shared" si="2"/>
        <v>5203</v>
      </c>
    </row>
    <row r="34" spans="1:9" x14ac:dyDescent="0.35">
      <c r="A34" s="8" t="str">
        <f>'April-June Unit Cost Ecomomic'!B56</f>
        <v>Dabble Starter Finger Painting Fun Pack + Apron ComboKit</v>
      </c>
      <c r="B34" s="9">
        <f>IF(ISNUMBER('April-June Unit Cost Ecomomic'!E56),'April-June Unit Cost Ecomomic'!E56,"n/a")</f>
        <v>1398</v>
      </c>
      <c r="C34" s="10">
        <f>IFERROR(N('April-June Unit Cost Ecomomic'!R56),0)</f>
        <v>14</v>
      </c>
      <c r="D34" s="9">
        <f>IFERROR(N('April-June Unit Cost Ecomomic'!D56),0)</f>
        <v>18726</v>
      </c>
      <c r="E34" s="9">
        <f>ROUND(IFERROR(N('April-June Unit Cost Ecomomic'!K56),0),0)</f>
        <v>848</v>
      </c>
      <c r="F34" s="11">
        <f t="shared" si="0"/>
        <v>0.63398483392075189</v>
      </c>
      <c r="G34" s="9">
        <f>ROUND(IFERROR(N('April-June Unit Cost Ecomomic'!N56),0),0)</f>
        <v>112</v>
      </c>
      <c r="H34" s="12">
        <f t="shared" si="1"/>
        <v>141</v>
      </c>
      <c r="I34" s="12">
        <f t="shared" si="2"/>
        <v>1974</v>
      </c>
    </row>
    <row r="35" spans="1:9" x14ac:dyDescent="0.35">
      <c r="A35" s="8" t="str">
        <f>'April-June Unit Cost Ecomomic'!B32</f>
        <v>Dabble DIY Sensory Playdough Kit</v>
      </c>
      <c r="B35" s="9">
        <f>IF(ISNUMBER('April-June Unit Cost Ecomomic'!E32),'April-June Unit Cost Ecomomic'!E32,"n/a")</f>
        <v>599</v>
      </c>
      <c r="C35" s="10">
        <f>IFERROR(N('April-June Unit Cost Ecomomic'!R32),0)</f>
        <v>34</v>
      </c>
      <c r="D35" s="9">
        <f>IFERROR(N('April-June Unit Cost Ecomomic'!D32),0)</f>
        <v>18643</v>
      </c>
      <c r="E35" s="9">
        <f>ROUND(IFERROR(N('April-June Unit Cost Ecomomic'!K32),0),0)</f>
        <v>440</v>
      </c>
      <c r="F35" s="11">
        <f t="shared" si="0"/>
        <v>0.80244595826851894</v>
      </c>
      <c r="G35" s="9">
        <f>ROUND(IFERROR(N('April-June Unit Cost Ecomomic'!N32),0),0)</f>
        <v>135</v>
      </c>
      <c r="H35" s="12">
        <f t="shared" si="1"/>
        <v>-290</v>
      </c>
      <c r="I35" s="12">
        <f t="shared" si="2"/>
        <v>-9860</v>
      </c>
    </row>
    <row r="36" spans="1:9" x14ac:dyDescent="0.35">
      <c r="A36" s="8" t="str">
        <f>'April-June Unit Cost Ecomomic'!B17</f>
        <v>Baby's First Art Set</v>
      </c>
      <c r="B36" s="9">
        <f>IF(ISNUMBER('April-June Unit Cost Ecomomic'!E17),'April-June Unit Cost Ecomomic'!E17,"n/a")</f>
        <v>1248</v>
      </c>
      <c r="C36" s="10">
        <f>IFERROR(N('April-June Unit Cost Ecomomic'!R17),0)</f>
        <v>12</v>
      </c>
      <c r="D36" s="9">
        <f>IFERROR(N('April-June Unit Cost Ecomomic'!D17),0)</f>
        <v>15345</v>
      </c>
      <c r="E36" s="9">
        <f>ROUND(IFERROR(N('April-June Unit Cost Ecomomic'!K17),0),0)</f>
        <v>839</v>
      </c>
      <c r="F36" s="11">
        <f t="shared" si="0"/>
        <v>0.65610948191593355</v>
      </c>
      <c r="G36" s="9">
        <f>ROUND(IFERROR(N('April-June Unit Cost Ecomomic'!N17),0),0)</f>
        <v>345</v>
      </c>
      <c r="H36" s="12">
        <f t="shared" si="1"/>
        <v>-101</v>
      </c>
      <c r="I36" s="12">
        <f t="shared" si="2"/>
        <v>-1212</v>
      </c>
    </row>
    <row r="37" spans="1:9" x14ac:dyDescent="0.35">
      <c r="A37" s="8" t="str">
        <f>'April-June Unit Cost Ecomomic'!B36</f>
        <v>Dabble Jumbo Paint Brush Set</v>
      </c>
      <c r="B37" s="9">
        <f>IF(ISNUMBER('April-June Unit Cost Ecomomic'!E36),'April-June Unit Cost Ecomomic'!E36,"n/a")</f>
        <v>499</v>
      </c>
      <c r="C37" s="10">
        <f>IFERROR(N('April-June Unit Cost Ecomomic'!R36),0)</f>
        <v>31</v>
      </c>
      <c r="D37" s="9">
        <f>IFERROR(N('April-June Unit Cost Ecomomic'!D36),0)</f>
        <v>14469</v>
      </c>
      <c r="E37" s="9">
        <f>ROUND(IFERROR(N('April-June Unit Cost Ecomomic'!K36),0),0)</f>
        <v>337</v>
      </c>
      <c r="F37" s="11">
        <f t="shared" si="0"/>
        <v>0.72202640127168427</v>
      </c>
      <c r="G37" s="9">
        <f>ROUND(IFERROR(N('April-June Unit Cost Ecomomic'!N36),0),0)</f>
        <v>103</v>
      </c>
      <c r="H37" s="12">
        <f t="shared" si="1"/>
        <v>-361</v>
      </c>
      <c r="I37" s="12">
        <f t="shared" si="2"/>
        <v>-11191</v>
      </c>
    </row>
    <row r="38" spans="1:9" x14ac:dyDescent="0.35">
      <c r="A38" s="8" t="str">
        <f>'April-June Unit Cost Ecomomic'!B68</f>
        <v>Canvas and Stand</v>
      </c>
      <c r="B38" s="9">
        <f>IF(ISNUMBER('April-June Unit Cost Ecomomic'!E68),'April-June Unit Cost Ecomomic'!E68,"n/a")</f>
        <v>160</v>
      </c>
      <c r="C38" s="10">
        <f>IFERROR(N('April-June Unit Cost Ecomomic'!R68),0)</f>
        <v>105</v>
      </c>
      <c r="D38" s="9">
        <f>IFERROR(N('April-June Unit Cost Ecomomic'!D68),0)</f>
        <v>14112</v>
      </c>
      <c r="E38" s="9">
        <f>ROUND(IFERROR(N('April-June Unit Cost Ecomomic'!K68),0),0)</f>
        <v>129</v>
      </c>
      <c r="F38" s="11">
        <f t="shared" ref="F38:F69" si="3">IFERROR(E38/(D38/C38),0)</f>
        <v>0.95982142857142849</v>
      </c>
      <c r="G38" s="9">
        <f>ROUND(IFERROR(N('April-June Unit Cost Ecomomic'!N68),0),0)</f>
        <v>104</v>
      </c>
      <c r="H38" s="12">
        <f t="shared" ref="H38:H69" si="4">ROUND(E38-$D$3-G38,0)</f>
        <v>-570</v>
      </c>
      <c r="I38" s="12">
        <f t="shared" ref="I38:I69" si="5">ROUND(H38*C38,0)</f>
        <v>-59850</v>
      </c>
    </row>
    <row r="39" spans="1:9" x14ac:dyDescent="0.35">
      <c r="A39" s="8" t="str">
        <f>'April-June Unit Cost Ecomomic'!B39</f>
        <v>Creative Wonder Set | Dabble Play Art Chunkies + Sensory Play Dough</v>
      </c>
      <c r="B39" s="9">
        <f>IF(ISNUMBER('April-June Unit Cost Ecomomic'!E39),'April-June Unit Cost Ecomomic'!E39,"n/a")</f>
        <v>1448</v>
      </c>
      <c r="C39" s="10">
        <f>IFERROR(N('April-June Unit Cost Ecomomic'!R39),0)</f>
        <v>10</v>
      </c>
      <c r="D39" s="9">
        <f>IFERROR(N('April-June Unit Cost Ecomomic'!D39),0)</f>
        <v>13926</v>
      </c>
      <c r="E39" s="9">
        <f>ROUND(IFERROR(N('April-June Unit Cost Ecomomic'!K39),0),0)</f>
        <v>1007</v>
      </c>
      <c r="F39" s="11">
        <f t="shared" si="3"/>
        <v>0.72310785580927761</v>
      </c>
      <c r="G39" s="9">
        <f>ROUND(IFERROR(N('April-June Unit Cost Ecomomic'!N39),0),0)</f>
        <v>151</v>
      </c>
      <c r="H39" s="12">
        <f t="shared" si="4"/>
        <v>261</v>
      </c>
      <c r="I39" s="12">
        <f t="shared" si="5"/>
        <v>2610</v>
      </c>
    </row>
    <row r="40" spans="1:9" x14ac:dyDescent="0.35">
      <c r="A40" s="8" t="str">
        <f>'April-June Unit Cost Ecomomic'!B31</f>
        <v>Toddler's First Painting Set | Finger Paints + Jumbo Brushes</v>
      </c>
      <c r="B40" s="9">
        <f>IF(ISNUMBER('April-June Unit Cost Ecomomic'!E31),'April-June Unit Cost Ecomomic'!E31,"n/a")</f>
        <v>1148</v>
      </c>
      <c r="C40" s="10">
        <f>IFERROR(N('April-June Unit Cost Ecomomic'!R31),0)</f>
        <v>12</v>
      </c>
      <c r="D40" s="9">
        <f>IFERROR(N('April-June Unit Cost Ecomomic'!D31),0)</f>
        <v>13325</v>
      </c>
      <c r="E40" s="9">
        <f>ROUND(IFERROR(N('April-June Unit Cost Ecomomic'!K31),0),0)</f>
        <v>814</v>
      </c>
      <c r="F40" s="11">
        <f t="shared" si="3"/>
        <v>0.73305816135084423</v>
      </c>
      <c r="G40" s="9">
        <f>ROUND(IFERROR(N('April-June Unit Cost Ecomomic'!N31),0),0)</f>
        <v>113</v>
      </c>
      <c r="H40" s="12">
        <f t="shared" si="4"/>
        <v>106</v>
      </c>
      <c r="I40" s="12">
        <f t="shared" si="5"/>
        <v>1272</v>
      </c>
    </row>
    <row r="41" spans="1:9" x14ac:dyDescent="0.35">
      <c r="A41" s="8" t="str">
        <f>'April-June Unit Cost Ecomomic'!B24</f>
        <v>Dabble Starter Pack | Chunkies + Finger Paints + Art Roll</v>
      </c>
      <c r="B41" s="9">
        <f>IF(ISNUMBER('April-June Unit Cost Ecomomic'!E24),'April-June Unit Cost Ecomomic'!E24,"n/a")</f>
        <v>1897</v>
      </c>
      <c r="C41" s="10">
        <f>IFERROR(N('April-June Unit Cost Ecomomic'!R24),0)</f>
        <v>7</v>
      </c>
      <c r="D41" s="9">
        <f>IFERROR(N('April-June Unit Cost Ecomomic'!D24),0)</f>
        <v>12785</v>
      </c>
      <c r="E41" s="9">
        <f>ROUND(IFERROR(N('April-June Unit Cost Ecomomic'!K24),0),0)</f>
        <v>1311</v>
      </c>
      <c r="F41" s="11">
        <f t="shared" si="3"/>
        <v>0.71779429018380914</v>
      </c>
      <c r="G41" s="9">
        <f>ROUND(IFERROR(N('April-June Unit Cost Ecomomic'!N24),0),0)</f>
        <v>163</v>
      </c>
      <c r="H41" s="12">
        <f t="shared" si="4"/>
        <v>553</v>
      </c>
      <c r="I41" s="12">
        <f t="shared" si="5"/>
        <v>3871</v>
      </c>
    </row>
    <row r="42" spans="1:9" x14ac:dyDescent="0.35">
      <c r="A42" s="8" t="str">
        <f>'April-June Unit Cost Ecomomic'!B37</f>
        <v>Dabble Dessert Party Pretend Playdough Set</v>
      </c>
      <c r="B42" s="9">
        <f>IF(ISNUMBER('April-June Unit Cost Ecomomic'!E37),'April-June Unit Cost Ecomomic'!E37,"n/a")</f>
        <v>599</v>
      </c>
      <c r="C42" s="10">
        <f>IFERROR(N('April-June Unit Cost Ecomomic'!R37),0)</f>
        <v>22</v>
      </c>
      <c r="D42" s="9">
        <f>IFERROR(N('April-June Unit Cost Ecomomic'!D37),0)</f>
        <v>12172</v>
      </c>
      <c r="E42" s="9">
        <f>ROUND(IFERROR(N('April-June Unit Cost Ecomomic'!K37),0),0)</f>
        <v>415</v>
      </c>
      <c r="F42" s="11">
        <f t="shared" si="3"/>
        <v>0.75008215576733495</v>
      </c>
      <c r="G42" s="9">
        <f>ROUND(IFERROR(N('April-June Unit Cost Ecomomic'!N37),0),0)</f>
        <v>84</v>
      </c>
      <c r="H42" s="12">
        <f t="shared" si="4"/>
        <v>-264</v>
      </c>
      <c r="I42" s="12">
        <f t="shared" si="5"/>
        <v>-5808</v>
      </c>
    </row>
    <row r="43" spans="1:9" x14ac:dyDescent="0.35">
      <c r="A43" s="8" t="str">
        <f>'April-June Unit Cost Ecomomic'!B50</f>
        <v>Dabble DINOSAUR STENCIL ART &amp; CRAFT Kit</v>
      </c>
      <c r="B43" s="9">
        <f>IF(ISNUMBER('April-June Unit Cost Ecomomic'!E50),'April-June Unit Cost Ecomomic'!E50,"n/a")</f>
        <v>399</v>
      </c>
      <c r="C43" s="10">
        <f>IFERROR(N('April-June Unit Cost Ecomomic'!R50),0)</f>
        <v>16</v>
      </c>
      <c r="D43" s="9">
        <f>IFERROR(N('April-June Unit Cost Ecomomic'!D50),0)</f>
        <v>10552</v>
      </c>
      <c r="E43" s="9">
        <f>ROUND(IFERROR(N('April-June Unit Cost Ecomomic'!K50),0),0)</f>
        <v>236</v>
      </c>
      <c r="F43" s="11">
        <f t="shared" si="3"/>
        <v>0.35784685367702807</v>
      </c>
      <c r="G43" s="9">
        <f>ROUND(IFERROR(N('April-June Unit Cost Ecomomic'!N50),0),0)</f>
        <v>0</v>
      </c>
      <c r="H43" s="12">
        <f t="shared" si="4"/>
        <v>-359</v>
      </c>
      <c r="I43" s="12">
        <f t="shared" si="5"/>
        <v>-5744</v>
      </c>
    </row>
    <row r="44" spans="1:9" x14ac:dyDescent="0.35">
      <c r="A44" s="8" t="str">
        <f>'April-June Unit Cost Ecomomic'!B43</f>
        <v>My First Dabble Swinginâ€™ Jungle Adventure | Reusable Story Card Set</v>
      </c>
      <c r="B44" s="9">
        <f>IF(ISNUMBER('April-June Unit Cost Ecomomic'!E43),'April-June Unit Cost Ecomomic'!E43,"n/a")</f>
        <v>499</v>
      </c>
      <c r="C44" s="10">
        <f>IFERROR(N('April-June Unit Cost Ecomomic'!R43),0)</f>
        <v>21</v>
      </c>
      <c r="D44" s="9">
        <f>IFERROR(N('April-June Unit Cost Ecomomic'!D43),0)</f>
        <v>10479</v>
      </c>
      <c r="E44" s="9">
        <f>ROUND(IFERROR(N('April-June Unit Cost Ecomomic'!K43),0),0)</f>
        <v>365</v>
      </c>
      <c r="F44" s="11">
        <f t="shared" si="3"/>
        <v>0.73146292585170336</v>
      </c>
      <c r="G44" s="9">
        <f>ROUND(IFERROR(N('April-June Unit Cost Ecomomic'!N43),0),0)</f>
        <v>104</v>
      </c>
      <c r="H44" s="12">
        <f t="shared" si="4"/>
        <v>-334</v>
      </c>
      <c r="I44" s="12">
        <f t="shared" si="5"/>
        <v>-7014</v>
      </c>
    </row>
    <row r="45" spans="1:9" x14ac:dyDescent="0.35">
      <c r="A45" s="8" t="str">
        <f>'April-June Unit Cost Ecomomic'!B60</f>
        <v>Dabble Chunky Glue</v>
      </c>
      <c r="B45" s="9">
        <f>IF(ISNUMBER('April-June Unit Cost Ecomomic'!E60),'April-June Unit Cost Ecomomic'!E60,"n/a")</f>
        <v>349</v>
      </c>
      <c r="C45" s="10">
        <f>IFERROR(N('April-June Unit Cost Ecomomic'!R60),0)</f>
        <v>25</v>
      </c>
      <c r="D45" s="9">
        <f>IFERROR(N('April-June Unit Cost Ecomomic'!D60),0)</f>
        <v>8725</v>
      </c>
      <c r="E45" s="9">
        <f>ROUND(IFERROR(N('April-June Unit Cost Ecomomic'!K60),0),0)</f>
        <v>236</v>
      </c>
      <c r="F45" s="11">
        <f t="shared" si="3"/>
        <v>0.67621776504297992</v>
      </c>
      <c r="G45" s="9">
        <f>ROUND(IFERROR(N('April-June Unit Cost Ecomomic'!N60),0),0)</f>
        <v>95</v>
      </c>
      <c r="H45" s="12">
        <f t="shared" si="4"/>
        <v>-454</v>
      </c>
      <c r="I45" s="12">
        <f t="shared" si="5"/>
        <v>-11350</v>
      </c>
    </row>
    <row r="46" spans="1:9" x14ac:dyDescent="0.35">
      <c r="A46" s="8" t="str">
        <f>'April-June Unit Cost Ecomomic'!B51</f>
        <v>All In One Paint Kit</v>
      </c>
      <c r="B46" s="9">
        <f>IF(ISNUMBER('April-June Unit Cost Ecomomic'!E51),'April-June Unit Cost Ecomomic'!E51,"n/a")</f>
        <v>499</v>
      </c>
      <c r="C46" s="10">
        <f>IFERROR(N('April-June Unit Cost Ecomomic'!R51),0)</f>
        <v>18</v>
      </c>
      <c r="D46" s="9">
        <f>IFERROR(N('April-June Unit Cost Ecomomic'!D51),0)</f>
        <v>8620</v>
      </c>
      <c r="E46" s="9">
        <f>ROUND(IFERROR(N('April-June Unit Cost Ecomomic'!K51),0),0)</f>
        <v>315</v>
      </c>
      <c r="F46" s="11">
        <f t="shared" si="3"/>
        <v>0.65777262180974472</v>
      </c>
      <c r="G46" s="9">
        <f>ROUND(IFERROR(N('April-June Unit Cost Ecomomic'!N51),0),0)</f>
        <v>120</v>
      </c>
      <c r="H46" s="12">
        <f t="shared" si="4"/>
        <v>-400</v>
      </c>
      <c r="I46" s="12">
        <f t="shared" si="5"/>
        <v>-7200</v>
      </c>
    </row>
    <row r="47" spans="1:9" x14ac:dyDescent="0.35">
      <c r="A47" s="8" t="str">
        <f>'April-June Unit Cost Ecomomic'!B38</f>
        <v>Dabble Gift Pack | Chunkies + Finger Paints</v>
      </c>
      <c r="B47" s="9">
        <f>IF(ISNUMBER('April-June Unit Cost Ecomomic'!E38),'April-June Unit Cost Ecomomic'!E38,"n/a")</f>
        <v>1198</v>
      </c>
      <c r="C47" s="10">
        <f>IFERROR(N('April-June Unit Cost Ecomomic'!R38),0)</f>
        <v>7</v>
      </c>
      <c r="D47" s="9">
        <f>IFERROR(N('April-June Unit Cost Ecomomic'!D38),0)</f>
        <v>8038</v>
      </c>
      <c r="E47" s="9">
        <f>ROUND(IFERROR(N('April-June Unit Cost Ecomomic'!K38),0),0)</f>
        <v>867</v>
      </c>
      <c r="F47" s="11">
        <f t="shared" si="3"/>
        <v>0.75503856680766368</v>
      </c>
      <c r="G47" s="9">
        <f>ROUND(IFERROR(N('April-June Unit Cost Ecomomic'!N38),0),0)</f>
        <v>89</v>
      </c>
      <c r="H47" s="12">
        <f t="shared" si="4"/>
        <v>183</v>
      </c>
      <c r="I47" s="12">
        <f t="shared" si="5"/>
        <v>1281</v>
      </c>
    </row>
    <row r="48" spans="1:9" x14ac:dyDescent="0.35">
      <c r="A48" s="8" t="str">
        <f>'April-June Unit Cost Ecomomic'!B46</f>
        <v>Dabble Chubby Brushes</v>
      </c>
      <c r="B48" s="9">
        <f>IF(ISNUMBER('April-June Unit Cost Ecomomic'!E46),'April-June Unit Cost Ecomomic'!E46,"n/a")</f>
        <v>449</v>
      </c>
      <c r="C48" s="10">
        <f>IFERROR(N('April-June Unit Cost Ecomomic'!R46),0)</f>
        <v>16</v>
      </c>
      <c r="D48" s="9">
        <f>IFERROR(N('April-June Unit Cost Ecomomic'!D46),0)</f>
        <v>7984</v>
      </c>
      <c r="E48" s="9">
        <f>ROUND(IFERROR(N('April-June Unit Cost Ecomomic'!K46),0),0)</f>
        <v>292</v>
      </c>
      <c r="F48" s="11">
        <f t="shared" si="3"/>
        <v>0.58517034068136276</v>
      </c>
      <c r="G48" s="9">
        <f>ROUND(IFERROR(N('April-June Unit Cost Ecomomic'!N46),0),0)</f>
        <v>97</v>
      </c>
      <c r="H48" s="12">
        <f t="shared" si="4"/>
        <v>-400</v>
      </c>
      <c r="I48" s="12">
        <f t="shared" si="5"/>
        <v>-6400</v>
      </c>
    </row>
    <row r="49" spans="1:9" x14ac:dyDescent="0.35">
      <c r="A49" s="8" t="str">
        <f>'April-June Unit Cost Ecomomic'!B33</f>
        <v>Endless Creations Pack | Dabble Reusable Colouring Pages + Sensory Play Dough</v>
      </c>
      <c r="B49" s="9">
        <f>IF(ISNUMBER('April-June Unit Cost Ecomomic'!E33),'April-June Unit Cost Ecomomic'!E33,"n/a")</f>
        <v>1298</v>
      </c>
      <c r="C49" s="10">
        <f>IFERROR(N('April-June Unit Cost Ecomomic'!R33),0)</f>
        <v>6</v>
      </c>
      <c r="D49" s="9">
        <f>IFERROR(N('April-June Unit Cost Ecomomic'!D33),0)</f>
        <v>7476</v>
      </c>
      <c r="E49" s="9">
        <f>ROUND(IFERROR(N('April-June Unit Cost Ecomomic'!K33),0),0)</f>
        <v>893</v>
      </c>
      <c r="F49" s="11">
        <f t="shared" si="3"/>
        <v>0.71669341894061001</v>
      </c>
      <c r="G49" s="9">
        <f>ROUND(IFERROR(N('April-June Unit Cost Ecomomic'!N33),0),0)</f>
        <v>105</v>
      </c>
      <c r="H49" s="12">
        <f t="shared" si="4"/>
        <v>193</v>
      </c>
      <c r="I49" s="12">
        <f t="shared" si="5"/>
        <v>1158</v>
      </c>
    </row>
    <row r="50" spans="1:9" x14ac:dyDescent="0.35">
      <c r="A50" s="8" t="str">
        <f>'April-June Unit Cost Ecomomic'!B44</f>
        <v>Dabble Reusable Colouring Pages + Crayons Combo Kit</v>
      </c>
      <c r="B50" s="9">
        <f>IF(ISNUMBER('April-June Unit Cost Ecomomic'!E44),'April-June Unit Cost Ecomomic'!E44,"n/a")</f>
        <v>848</v>
      </c>
      <c r="C50" s="10">
        <f>IFERROR(N('April-June Unit Cost Ecomomic'!R44),0)</f>
        <v>9</v>
      </c>
      <c r="D50" s="9">
        <f>IFERROR(N('April-June Unit Cost Ecomomic'!D44),0)</f>
        <v>7341</v>
      </c>
      <c r="E50" s="9">
        <f>ROUND(IFERROR(N('April-June Unit Cost Ecomomic'!K44),0),0)</f>
        <v>588</v>
      </c>
      <c r="F50" s="11">
        <f t="shared" si="3"/>
        <v>0.72088271352676747</v>
      </c>
      <c r="G50" s="9">
        <f>ROUND(IFERROR(N('April-June Unit Cost Ecomomic'!N44),0),0)</f>
        <v>157</v>
      </c>
      <c r="H50" s="12">
        <f t="shared" si="4"/>
        <v>-164</v>
      </c>
      <c r="I50" s="12">
        <f t="shared" si="5"/>
        <v>-1476</v>
      </c>
    </row>
    <row r="51" spans="1:9" x14ac:dyDescent="0.35">
      <c r="A51" s="8" t="str">
        <f>'April-June Unit Cost Ecomomic'!B35</f>
        <v>Toddlers First Colouring Set | Playart Crayons + Art Roll</v>
      </c>
      <c r="B51" s="9">
        <f>IF(ISNUMBER('April-June Unit Cost Ecomomic'!E35),'April-June Unit Cost Ecomomic'!E35,"n/a")</f>
        <v>1148</v>
      </c>
      <c r="C51" s="10">
        <f>IFERROR(N('April-June Unit Cost Ecomomic'!R35),0)</f>
        <v>7</v>
      </c>
      <c r="D51" s="9">
        <f>IFERROR(N('April-June Unit Cost Ecomomic'!D35),0)</f>
        <v>7279</v>
      </c>
      <c r="E51" s="9">
        <f>ROUND(IFERROR(N('April-June Unit Cost Ecomomic'!K35),0),0)</f>
        <v>759</v>
      </c>
      <c r="F51" s="11">
        <f t="shared" si="3"/>
        <v>0.7299079543893392</v>
      </c>
      <c r="G51" s="9">
        <f>ROUND(IFERROR(N('April-June Unit Cost Ecomomic'!N35),0),0)</f>
        <v>193</v>
      </c>
      <c r="H51" s="12">
        <f t="shared" si="4"/>
        <v>-29</v>
      </c>
      <c r="I51" s="12">
        <f t="shared" si="5"/>
        <v>-203</v>
      </c>
    </row>
    <row r="52" spans="1:9" x14ac:dyDescent="0.35">
      <c r="A52" s="8" t="str">
        <f>'April-June Unit Cost Ecomomic'!B53</f>
        <v>Dabble UNICORN STENCIL ART &amp; CRAFT Kit</v>
      </c>
      <c r="B52" s="9">
        <f>IF(ISNUMBER('April-June Unit Cost Ecomomic'!E53),'April-June Unit Cost Ecomomic'!E53,"n/a")</f>
        <v>399</v>
      </c>
      <c r="C52" s="10">
        <f>IFERROR(N('April-June Unit Cost Ecomomic'!R53),0)</f>
        <v>9</v>
      </c>
      <c r="D52" s="9">
        <f>IFERROR(N('April-June Unit Cost Ecomomic'!D53),0)</f>
        <v>6462</v>
      </c>
      <c r="E52" s="9">
        <f>ROUND(IFERROR(N('April-June Unit Cost Ecomomic'!K53),0),0)</f>
        <v>239</v>
      </c>
      <c r="F52" s="11">
        <f t="shared" si="3"/>
        <v>0.33286908077994432</v>
      </c>
      <c r="G52" s="9">
        <f>ROUND(IFERROR(N('April-June Unit Cost Ecomomic'!N53),0),0)</f>
        <v>0</v>
      </c>
      <c r="H52" s="12">
        <f t="shared" si="4"/>
        <v>-356</v>
      </c>
      <c r="I52" s="12">
        <f t="shared" si="5"/>
        <v>-3204</v>
      </c>
    </row>
    <row r="53" spans="1:9" x14ac:dyDescent="0.35">
      <c r="A53" s="8" t="str">
        <f>'April-June Unit Cost Ecomomic'!B49</f>
        <v>My First Dabble Puzzle Colouring Set - Emotions, Shapes &amp; Colours</v>
      </c>
      <c r="B53" s="9">
        <f>IF(ISNUMBER('April-June Unit Cost Ecomomic'!E49),'April-June Unit Cost Ecomomic'!E49,"n/a")</f>
        <v>999</v>
      </c>
      <c r="C53" s="10">
        <f>IFERROR(N('April-June Unit Cost Ecomomic'!R49),0)</f>
        <v>7</v>
      </c>
      <c r="D53" s="9">
        <f>IFERROR(N('April-June Unit Cost Ecomomic'!D49),0)</f>
        <v>6433</v>
      </c>
      <c r="E53" s="9">
        <f>ROUND(IFERROR(N('April-June Unit Cost Ecomomic'!K49),0),0)</f>
        <v>611</v>
      </c>
      <c r="F53" s="11">
        <f t="shared" si="3"/>
        <v>0.66485310119695318</v>
      </c>
      <c r="G53" s="9">
        <f>ROUND(IFERROR(N('April-June Unit Cost Ecomomic'!N49),0),0)</f>
        <v>128</v>
      </c>
      <c r="H53" s="12">
        <f t="shared" si="4"/>
        <v>-112</v>
      </c>
      <c r="I53" s="12">
        <f t="shared" si="5"/>
        <v>-784</v>
      </c>
    </row>
    <row r="54" spans="1:9" x14ac:dyDescent="0.35">
      <c r="A54" s="8" t="str">
        <f>'April-June Unit Cost Ecomomic'!B40</f>
        <v>Dabble Canvas Art Board</v>
      </c>
      <c r="B54" s="9">
        <f>IF(ISNUMBER('April-June Unit Cost Ecomomic'!E40),'April-June Unit Cost Ecomomic'!E40,"n/a")</f>
        <v>190</v>
      </c>
      <c r="C54" s="10">
        <f>IFERROR(N('April-June Unit Cost Ecomomic'!R40),0)</f>
        <v>35</v>
      </c>
      <c r="D54" s="9">
        <f>IFERROR(N('April-June Unit Cost Ecomomic'!D40),0)</f>
        <v>6080</v>
      </c>
      <c r="E54" s="9">
        <f>ROUND(IFERROR(N('April-June Unit Cost Ecomomic'!K40),0),0)</f>
        <v>116</v>
      </c>
      <c r="F54" s="11">
        <f t="shared" si="3"/>
        <v>0.66776315789473684</v>
      </c>
      <c r="G54" s="9">
        <f>ROUND(IFERROR(N('April-June Unit Cost Ecomomic'!N40),0),0)</f>
        <v>110</v>
      </c>
      <c r="H54" s="12">
        <f t="shared" si="4"/>
        <v>-589</v>
      </c>
      <c r="I54" s="12">
        <f t="shared" si="5"/>
        <v>-20615</v>
      </c>
    </row>
    <row r="55" spans="1:9" x14ac:dyDescent="0.35">
      <c r="A55" s="8" t="str">
        <f>'April-June Unit Cost Ecomomic'!B48</f>
        <v>Dabble Magic Dough Lab â€” Colour Mixing STEAM Kit</v>
      </c>
      <c r="B55" s="9">
        <f>IF(ISNUMBER('April-June Unit Cost Ecomomic'!E48),'April-June Unit Cost Ecomomic'!E48,"n/a")</f>
        <v>599</v>
      </c>
      <c r="C55" s="10">
        <f>IFERROR(N('April-June Unit Cost Ecomomic'!R48),0)</f>
        <v>10</v>
      </c>
      <c r="D55" s="9">
        <f>IFERROR(N('April-June Unit Cost Ecomomic'!D48),0)</f>
        <v>5520</v>
      </c>
      <c r="E55" s="9">
        <f>ROUND(IFERROR(N('April-June Unit Cost Ecomomic'!K48),0),0)</f>
        <v>458</v>
      </c>
      <c r="F55" s="11">
        <f t="shared" si="3"/>
        <v>0.82971014492753625</v>
      </c>
      <c r="G55" s="9">
        <f>ROUND(IFERROR(N('April-June Unit Cost Ecomomic'!N48),0),0)</f>
        <v>133</v>
      </c>
      <c r="H55" s="12">
        <f t="shared" si="4"/>
        <v>-270</v>
      </c>
      <c r="I55" s="12">
        <f t="shared" si="5"/>
        <v>-2700</v>
      </c>
    </row>
    <row r="56" spans="1:9" x14ac:dyDescent="0.35">
      <c r="A56" s="8" t="str">
        <f>'April-June Unit Cost Ecomomic'!B86</f>
        <v>Dabble Gift Set | Crayons + Finger Paints</v>
      </c>
      <c r="B56" s="9">
        <f>IF(ISNUMBER('April-June Unit Cost Ecomomic'!E86),'April-June Unit Cost Ecomomic'!E86,"n/a")</f>
        <v>1098</v>
      </c>
      <c r="C56" s="10">
        <f>IFERROR(N('April-June Unit Cost Ecomomic'!R86),0)</f>
        <v>5</v>
      </c>
      <c r="D56" s="9">
        <f>IFERROR(N('April-June Unit Cost Ecomomic'!D86),0)</f>
        <v>5380</v>
      </c>
      <c r="E56" s="9">
        <f>ROUND(IFERROR(N('April-June Unit Cost Ecomomic'!K86),0),0)</f>
        <v>903</v>
      </c>
      <c r="F56" s="11">
        <f t="shared" si="3"/>
        <v>0.83921933085501854</v>
      </c>
      <c r="G56" s="9">
        <f>ROUND(IFERROR(N('April-June Unit Cost Ecomomic'!N86),0),0)</f>
        <v>104</v>
      </c>
      <c r="H56" s="12">
        <f t="shared" si="4"/>
        <v>204</v>
      </c>
      <c r="I56" s="12">
        <f t="shared" si="5"/>
        <v>1020</v>
      </c>
    </row>
    <row r="57" spans="1:9" x14ac:dyDescent="0.35">
      <c r="A57" s="8" t="str">
        <f>'April-June Unit Cost Ecomomic'!B64</f>
        <v>Dabble Painting set | Finger Paints + Chubby Brushes</v>
      </c>
      <c r="B57" s="9">
        <f>IF(ISNUMBER('April-June Unit Cost Ecomomic'!E64),'April-June Unit Cost Ecomomic'!E64,"n/a")</f>
        <v>1098</v>
      </c>
      <c r="C57" s="10">
        <f>IFERROR(N('April-June Unit Cost Ecomomic'!R64),0)</f>
        <v>5</v>
      </c>
      <c r="D57" s="9">
        <f>IFERROR(N('April-June Unit Cost Ecomomic'!D64),0)</f>
        <v>5237</v>
      </c>
      <c r="E57" s="9">
        <f>ROUND(IFERROR(N('April-June Unit Cost Ecomomic'!K64),0),0)</f>
        <v>767</v>
      </c>
      <c r="F57" s="11">
        <f t="shared" si="3"/>
        <v>0.73228947870918459</v>
      </c>
      <c r="G57" s="9">
        <f>ROUND(IFERROR(N('April-June Unit Cost Ecomomic'!N64),0),0)</f>
        <v>145</v>
      </c>
      <c r="H57" s="12">
        <f t="shared" si="4"/>
        <v>27</v>
      </c>
      <c r="I57" s="12">
        <f t="shared" si="5"/>
        <v>135</v>
      </c>
    </row>
    <row r="58" spans="1:9" x14ac:dyDescent="0.35">
      <c r="A58" s="8" t="str">
        <f>'April-June Unit Cost Ecomomic'!B58</f>
        <v>Dabble Playtime Prep Kit</v>
      </c>
      <c r="B58" s="9">
        <f>IF(ISNUMBER('April-June Unit Cost Ecomomic'!E58),'April-June Unit Cost Ecomomic'!E58,"n/a")</f>
        <v>1238</v>
      </c>
      <c r="C58" s="10">
        <f>IFERROR(N('April-June Unit Cost Ecomomic'!R58),0)</f>
        <v>4</v>
      </c>
      <c r="D58" s="9">
        <f>IFERROR(N('April-June Unit Cost Ecomomic'!D58),0)</f>
        <v>4778</v>
      </c>
      <c r="E58" s="9">
        <f>ROUND(IFERROR(N('April-June Unit Cost Ecomomic'!K58),0),0)</f>
        <v>819</v>
      </c>
      <c r="F58" s="11">
        <f t="shared" si="3"/>
        <v>0.68564252825449978</v>
      </c>
      <c r="G58" s="9">
        <f>ROUND(IFERROR(N('April-June Unit Cost Ecomomic'!N58),0),0)</f>
        <v>297</v>
      </c>
      <c r="H58" s="12">
        <f t="shared" si="4"/>
        <v>-73</v>
      </c>
      <c r="I58" s="12">
        <f t="shared" si="5"/>
        <v>-292</v>
      </c>
    </row>
    <row r="59" spans="1:9" x14ac:dyDescent="0.35">
      <c r="A59" s="8" t="str">
        <f>'April-June Unit Cost Ecomomic'!B55</f>
        <v>My dabble India Map Art | India maps for kids learning</v>
      </c>
      <c r="B59" s="9">
        <f>IF(ISNUMBER('April-June Unit Cost Ecomomic'!E55),'April-June Unit Cost Ecomomic'!E55,"n/a")</f>
        <v>1099</v>
      </c>
      <c r="C59" s="10">
        <f>IFERROR(N('April-June Unit Cost Ecomomic'!R55),0)</f>
        <v>4</v>
      </c>
      <c r="D59" s="9">
        <f>IFERROR(N('April-June Unit Cost Ecomomic'!D55),0)</f>
        <v>4280</v>
      </c>
      <c r="E59" s="9">
        <f>ROUND(IFERROR(N('April-June Unit Cost Ecomomic'!K55),0),0)</f>
        <v>738</v>
      </c>
      <c r="F59" s="11">
        <f t="shared" si="3"/>
        <v>0.68971962616822435</v>
      </c>
      <c r="G59" s="9">
        <f>ROUND(IFERROR(N('April-June Unit Cost Ecomomic'!N55),0),0)</f>
        <v>93</v>
      </c>
      <c r="H59" s="12">
        <f t="shared" si="4"/>
        <v>50</v>
      </c>
      <c r="I59" s="12">
        <f t="shared" si="5"/>
        <v>200</v>
      </c>
    </row>
    <row r="60" spans="1:9" x14ac:dyDescent="0.35">
      <c r="A60" s="8" t="str">
        <f>'April-June Unit Cost Ecomomic'!B57</f>
        <v>Dabble Finger Paints + Canvas Art Board</v>
      </c>
      <c r="B60" s="9">
        <f>IF(ISNUMBER('April-June Unit Cost Ecomomic'!E57),'April-June Unit Cost Ecomomic'!E57,"n/a")</f>
        <v>1089</v>
      </c>
      <c r="C60" s="10">
        <f>IFERROR(N('April-June Unit Cost Ecomomic'!R57),0)</f>
        <v>4</v>
      </c>
      <c r="D60" s="9">
        <f>IFERROR(N('April-June Unit Cost Ecomomic'!D57),0)</f>
        <v>4202</v>
      </c>
      <c r="E60" s="9">
        <f>ROUND(IFERROR(N('April-June Unit Cost Ecomomic'!K57),0),0)</f>
        <v>685</v>
      </c>
      <c r="F60" s="11">
        <f t="shared" si="3"/>
        <v>0.65207044264635883</v>
      </c>
      <c r="G60" s="9">
        <f>ROUND(IFERROR(N('April-June Unit Cost Ecomomic'!N57),0),0)</f>
        <v>183</v>
      </c>
      <c r="H60" s="12">
        <f t="shared" si="4"/>
        <v>-93</v>
      </c>
      <c r="I60" s="12">
        <f t="shared" si="5"/>
        <v>-372</v>
      </c>
    </row>
    <row r="61" spans="1:9" x14ac:dyDescent="0.35">
      <c r="A61" s="8" t="str">
        <f>'April-June Unit Cost Ecomomic'!B59</f>
        <v>A-Z Alphabet Printable Activity Pack</v>
      </c>
      <c r="B61" s="9">
        <f>IF(ISNUMBER('April-June Unit Cost Ecomomic'!E59),'April-June Unit Cost Ecomomic'!E59,"n/a")</f>
        <v>99</v>
      </c>
      <c r="C61" s="10">
        <f>IFERROR(N('April-June Unit Cost Ecomomic'!R59),0)</f>
        <v>40</v>
      </c>
      <c r="D61" s="9">
        <f>IFERROR(N('April-June Unit Cost Ecomomic'!D59),0)</f>
        <v>3960</v>
      </c>
      <c r="E61" s="9">
        <f>ROUND(IFERROR(N('April-June Unit Cost Ecomomic'!K59),0),0)</f>
        <v>78</v>
      </c>
      <c r="F61" s="11">
        <f t="shared" si="3"/>
        <v>0.78787878787878785</v>
      </c>
      <c r="G61" s="9">
        <f>ROUND(IFERROR(N('April-June Unit Cost Ecomomic'!N59),0),0)</f>
        <v>2</v>
      </c>
      <c r="H61" s="12">
        <f t="shared" si="4"/>
        <v>-519</v>
      </c>
      <c r="I61" s="12">
        <f t="shared" si="5"/>
        <v>-20760</v>
      </c>
    </row>
    <row r="62" spans="1:9" x14ac:dyDescent="0.35">
      <c r="A62" s="8" t="str">
        <f>'April-June Unit Cost Ecomomic'!B47</f>
        <v>Dabble Reusable Colouring Pages + Mini Finger Paints Combo Kit</v>
      </c>
      <c r="B62" s="9">
        <f>IF(ISNUMBER('April-June Unit Cost Ecomomic'!E47),'April-June Unit Cost Ecomomic'!E47,"n/a")</f>
        <v>998</v>
      </c>
      <c r="C62" s="10">
        <f>IFERROR(N('April-June Unit Cost Ecomomic'!R47),0)</f>
        <v>4</v>
      </c>
      <c r="D62" s="9">
        <f>IFERROR(N('April-June Unit Cost Ecomomic'!D47),0)</f>
        <v>3823</v>
      </c>
      <c r="E62" s="9">
        <f>ROUND(IFERROR(N('April-June Unit Cost Ecomomic'!K47),0),0)</f>
        <v>685</v>
      </c>
      <c r="F62" s="11">
        <f t="shared" si="3"/>
        <v>0.71671462202458802</v>
      </c>
      <c r="G62" s="9">
        <f>ROUND(IFERROR(N('April-June Unit Cost Ecomomic'!N47),0),0)</f>
        <v>211</v>
      </c>
      <c r="H62" s="12">
        <f t="shared" si="4"/>
        <v>-121</v>
      </c>
      <c r="I62" s="12">
        <f t="shared" si="5"/>
        <v>-484</v>
      </c>
    </row>
    <row r="63" spans="1:9" x14ac:dyDescent="0.35">
      <c r="A63" s="8" t="str">
        <f>'April-June Unit Cost Ecomomic'!B78</f>
        <v>Dabble Combo Pack | Crayons + Finger Paints + Art Roll</v>
      </c>
      <c r="B63" s="9">
        <f>IF(ISNUMBER('April-June Unit Cost Ecomomic'!E78),'April-June Unit Cost Ecomomic'!E78,"n/a")</f>
        <v>1797</v>
      </c>
      <c r="C63" s="10">
        <f>IFERROR(N('April-June Unit Cost Ecomomic'!R78),0)</f>
        <v>2</v>
      </c>
      <c r="D63" s="9">
        <f>IFERROR(N('April-June Unit Cost Ecomomic'!D78),0)</f>
        <v>3466</v>
      </c>
      <c r="E63" s="9">
        <f>ROUND(IFERROR(N('April-June Unit Cost Ecomomic'!K78),0),0)</f>
        <v>1478</v>
      </c>
      <c r="F63" s="11">
        <f t="shared" si="3"/>
        <v>0.85285631852279287</v>
      </c>
      <c r="G63" s="9">
        <f>ROUND(IFERROR(N('April-June Unit Cost Ecomomic'!N78),0),0)</f>
        <v>3457</v>
      </c>
      <c r="H63" s="12">
        <f t="shared" si="4"/>
        <v>-2574</v>
      </c>
      <c r="I63" s="12">
        <f t="shared" si="5"/>
        <v>-5148</v>
      </c>
    </row>
    <row r="64" spans="1:9" x14ac:dyDescent="0.35">
      <c r="A64" s="8" t="str">
        <f>'April-June Unit Cost Ecomomic'!B45</f>
        <v>Multi Sensory Painting Set</v>
      </c>
      <c r="B64" s="9">
        <f>IF(ISNUMBER('April-June Unit Cost Ecomomic'!E45),'April-June Unit Cost Ecomomic'!E45,"n/a")</f>
        <v>1348</v>
      </c>
      <c r="C64" s="10">
        <f>IFERROR(N('April-June Unit Cost Ecomomic'!R45),0)</f>
        <v>2</v>
      </c>
      <c r="D64" s="9">
        <f>IFERROR(N('April-June Unit Cost Ecomomic'!D45),0)</f>
        <v>2605</v>
      </c>
      <c r="E64" s="9">
        <f>ROUND(IFERROR(N('April-June Unit Cost Ecomomic'!K45),0),0)</f>
        <v>935</v>
      </c>
      <c r="F64" s="11">
        <f t="shared" si="3"/>
        <v>0.71785028790786953</v>
      </c>
      <c r="G64" s="9">
        <f>ROUND(IFERROR(N('April-June Unit Cost Ecomomic'!N45),0),0)</f>
        <v>433</v>
      </c>
      <c r="H64" s="12">
        <f t="shared" si="4"/>
        <v>-93</v>
      </c>
      <c r="I64" s="12">
        <f t="shared" si="5"/>
        <v>-186</v>
      </c>
    </row>
    <row r="65" spans="1:9" x14ac:dyDescent="0.35">
      <c r="A65" s="8" t="str">
        <f>'April-June Unit Cost Ecomomic'!B69</f>
        <v>Flip Flap Play Pack | Activity Book |</v>
      </c>
      <c r="B65" s="9">
        <f>IF(ISNUMBER('April-June Unit Cost Ecomomic'!E69),'April-June Unit Cost Ecomomic'!E69,"n/a")</f>
        <v>1098</v>
      </c>
      <c r="C65" s="10">
        <f>IFERROR(N('April-June Unit Cost Ecomomic'!R69),0)</f>
        <v>3</v>
      </c>
      <c r="D65" s="9">
        <f>IFERROR(N('April-June Unit Cost Ecomomic'!D69),0)</f>
        <v>2535</v>
      </c>
      <c r="E65" s="9">
        <f>ROUND(IFERROR(N('April-June Unit Cost Ecomomic'!K69),0),0)</f>
        <v>703</v>
      </c>
      <c r="F65" s="11">
        <f t="shared" si="3"/>
        <v>0.8319526627218935</v>
      </c>
      <c r="G65" s="9">
        <f>ROUND(IFERROR(N('April-June Unit Cost Ecomomic'!N69),0),0)</f>
        <v>88</v>
      </c>
      <c r="H65" s="12">
        <f t="shared" si="4"/>
        <v>20</v>
      </c>
      <c r="I65" s="12">
        <f t="shared" si="5"/>
        <v>60</v>
      </c>
    </row>
    <row r="66" spans="1:9" x14ac:dyDescent="0.35">
      <c r="A66" s="8" t="str">
        <f>'April-June Unit Cost Ecomomic'!B52</f>
        <v>Dabble Finger Painting Super Pack</v>
      </c>
      <c r="B66" s="9">
        <f>IF(ISNUMBER('April-June Unit Cost Ecomomic'!E52),'April-June Unit Cost Ecomomic'!E52,"n/a")</f>
        <v>2147</v>
      </c>
      <c r="C66" s="10">
        <f>IFERROR(N('April-June Unit Cost Ecomomic'!R52),0)</f>
        <v>1</v>
      </c>
      <c r="D66" s="9">
        <f>IFERROR(N('April-June Unit Cost Ecomomic'!D52),0)</f>
        <v>2104</v>
      </c>
      <c r="E66" s="9">
        <f>ROUND(IFERROR(N('April-June Unit Cost Ecomomic'!K52),0),0)</f>
        <v>1372</v>
      </c>
      <c r="F66" s="11">
        <f t="shared" si="3"/>
        <v>0.65209125475285168</v>
      </c>
      <c r="G66" s="9">
        <f>ROUND(IFERROR(N('April-June Unit Cost Ecomomic'!N52),0),0)</f>
        <v>270</v>
      </c>
      <c r="H66" s="12">
        <f t="shared" si="4"/>
        <v>507</v>
      </c>
      <c r="I66" s="12">
        <f t="shared" si="5"/>
        <v>507</v>
      </c>
    </row>
    <row r="67" spans="1:9" x14ac:dyDescent="0.35">
      <c r="A67" s="8" t="str">
        <f>'April-June Unit Cost Ecomomic'!B54</f>
        <v>All In One Paint Kit + Playart Crayons Combo</v>
      </c>
      <c r="B67" s="9">
        <f>IF(ISNUMBER('April-June Unit Cost Ecomomic'!E54),'April-June Unit Cost Ecomomic'!E54,"n/a")</f>
        <v>948</v>
      </c>
      <c r="C67" s="10">
        <f>IFERROR(N('April-June Unit Cost Ecomomic'!R54),0)</f>
        <v>2</v>
      </c>
      <c r="D67" s="9">
        <f>IFERROR(N('April-June Unit Cost Ecomomic'!D54),0)</f>
        <v>1994</v>
      </c>
      <c r="E67" s="9">
        <f>ROUND(IFERROR(N('April-June Unit Cost Ecomomic'!K54),0),0)</f>
        <v>620</v>
      </c>
      <c r="F67" s="11">
        <f t="shared" si="3"/>
        <v>0.62186559679037112</v>
      </c>
      <c r="G67" s="9">
        <f>ROUND(IFERROR(N('April-June Unit Cost Ecomomic'!N54),0),0)</f>
        <v>74</v>
      </c>
      <c r="H67" s="12">
        <f t="shared" si="4"/>
        <v>-49</v>
      </c>
      <c r="I67" s="12">
        <f t="shared" si="5"/>
        <v>-98</v>
      </c>
    </row>
    <row r="68" spans="1:9" x14ac:dyDescent="0.35">
      <c r="A68" s="8" t="str">
        <f>'April-June Unit Cost Ecomomic'!B41</f>
        <v>Magic Paint Dust + Jumbo Brush Combo Kit + PlayArt Roll â€“ Babyâ€™s First Painting Kit</v>
      </c>
      <c r="B68" s="9">
        <f>IF(ISNUMBER('April-June Unit Cost Ecomomic'!E41),'April-June Unit Cost Ecomomic'!E41,"n/a")</f>
        <v>2097</v>
      </c>
      <c r="C68" s="10">
        <f>IFERROR(N('April-June Unit Cost Ecomomic'!R41),0)</f>
        <v>1</v>
      </c>
      <c r="D68" s="9">
        <f>IFERROR(N('April-June Unit Cost Ecomomic'!D41),0)</f>
        <v>1992</v>
      </c>
      <c r="E68" s="9">
        <f>ROUND(IFERROR(N('April-June Unit Cost Ecomomic'!K41),0),0)</f>
        <v>1393</v>
      </c>
      <c r="F68" s="11">
        <f t="shared" si="3"/>
        <v>0.69929718875502012</v>
      </c>
      <c r="G68" s="9">
        <f>ROUND(IFERROR(N('April-June Unit Cost Ecomomic'!N41),0),0)</f>
        <v>0</v>
      </c>
      <c r="H68" s="12">
        <f t="shared" si="4"/>
        <v>798</v>
      </c>
      <c r="I68" s="12">
        <f t="shared" si="5"/>
        <v>798</v>
      </c>
    </row>
    <row r="69" spans="1:9" x14ac:dyDescent="0.35">
      <c r="A69" s="8" t="str">
        <f>'April-June Unit Cost Ecomomic'!B61</f>
        <v>Dabble Essentials Pack</v>
      </c>
      <c r="B69" s="9">
        <f>IF(ISNUMBER('April-June Unit Cost Ecomomic'!E61),'April-June Unit Cost Ecomomic'!E61,"n/a")</f>
        <v>1847</v>
      </c>
      <c r="C69" s="10">
        <f>IFERROR(N('April-June Unit Cost Ecomomic'!R61),0)</f>
        <v>1</v>
      </c>
      <c r="D69" s="9">
        <f>IFERROR(N('April-June Unit Cost Ecomomic'!D61),0)</f>
        <v>1810</v>
      </c>
      <c r="E69" s="9">
        <f>ROUND(IFERROR(N('April-June Unit Cost Ecomomic'!K61),0),0)</f>
        <v>1119</v>
      </c>
      <c r="F69" s="11">
        <f t="shared" si="3"/>
        <v>0.61823204419889499</v>
      </c>
      <c r="G69" s="9">
        <f>ROUND(IFERROR(N('April-June Unit Cost Ecomomic'!N61),0),0)</f>
        <v>174</v>
      </c>
      <c r="H69" s="12">
        <f t="shared" si="4"/>
        <v>350</v>
      </c>
      <c r="I69" s="12">
        <f t="shared" si="5"/>
        <v>350</v>
      </c>
    </row>
    <row r="70" spans="1:9" x14ac:dyDescent="0.35">
      <c r="A70" s="8" t="str">
        <f>'April-June Unit Cost Ecomomic'!B66</f>
        <v>Dabble Sensory Painting Kit</v>
      </c>
      <c r="B70" s="9">
        <f>IF(ISNUMBER('April-June Unit Cost Ecomomic'!E66),'April-June Unit Cost Ecomomic'!E66,"n/a")</f>
        <v>1747</v>
      </c>
      <c r="C70" s="10">
        <f>IFERROR(N('April-June Unit Cost Ecomomic'!R66),0)</f>
        <v>1</v>
      </c>
      <c r="D70" s="9">
        <f>IFERROR(N('April-June Unit Cost Ecomomic'!D66),0)</f>
        <v>1712</v>
      </c>
      <c r="E70" s="9">
        <f>ROUND(IFERROR(N('April-June Unit Cost Ecomomic'!K66),0),0)</f>
        <v>1017</v>
      </c>
      <c r="F70" s="11">
        <f t="shared" ref="F70:F75" si="6">IFERROR(E70/(D70/C70),0)</f>
        <v>0.59404205607476634</v>
      </c>
      <c r="G70" s="9">
        <f>ROUND(IFERROR(N('April-June Unit Cost Ecomomic'!N66),0),0)</f>
        <v>505</v>
      </c>
      <c r="H70" s="12">
        <f t="shared" ref="H70:H75" si="7">ROUND(E70-$D$3-G70,0)</f>
        <v>-83</v>
      </c>
      <c r="I70" s="12">
        <f t="shared" ref="I70:I75" si="8">ROUND(H70*C70,0)</f>
        <v>-83</v>
      </c>
    </row>
    <row r="71" spans="1:9" x14ac:dyDescent="0.35">
      <c r="A71" s="8" t="str">
        <f>'April-June Unit Cost Ecomomic'!B72</f>
        <v>Dabble Reusable Colouring Pages + Glue Combo Kit</v>
      </c>
      <c r="B71" s="9">
        <f>IF(ISNUMBER('April-June Unit Cost Ecomomic'!E72),'April-June Unit Cost Ecomomic'!E72,"n/a")</f>
        <v>748</v>
      </c>
      <c r="C71" s="10">
        <f>IFERROR(N('April-June Unit Cost Ecomomic'!R72),0)</f>
        <v>2</v>
      </c>
      <c r="D71" s="9">
        <f>IFERROR(N('April-June Unit Cost Ecomomic'!D72),0)</f>
        <v>1420</v>
      </c>
      <c r="E71" s="9">
        <f>ROUND(IFERROR(N('April-June Unit Cost Ecomomic'!K72),0),0)</f>
        <v>517</v>
      </c>
      <c r="F71" s="11">
        <f t="shared" si="6"/>
        <v>0.72816901408450707</v>
      </c>
      <c r="G71" s="9">
        <f>ROUND(IFERROR(N('April-June Unit Cost Ecomomic'!N72),0),0)</f>
        <v>110</v>
      </c>
      <c r="H71" s="12">
        <f t="shared" si="7"/>
        <v>-188</v>
      </c>
      <c r="I71" s="12">
        <f t="shared" si="8"/>
        <v>-376</v>
      </c>
    </row>
    <row r="72" spans="1:9" x14ac:dyDescent="0.35">
      <c r="A72" s="8" t="str">
        <f>'April-June Unit Cost Ecomomic'!B67</f>
        <v>Dabble 3 In 1 Easy-Clean Fun Pack</v>
      </c>
      <c r="B72" s="9">
        <f>IF(ISNUMBER('April-June Unit Cost Ecomomic'!E67),'April-June Unit Cost Ecomomic'!E67,"n/a")</f>
        <v>1447</v>
      </c>
      <c r="C72" s="10">
        <f>IFERROR(N('April-June Unit Cost Ecomomic'!R67),0)</f>
        <v>1</v>
      </c>
      <c r="D72" s="9">
        <f>IFERROR(N('April-June Unit Cost Ecomomic'!D67),0)</f>
        <v>1418</v>
      </c>
      <c r="E72" s="9">
        <f>ROUND(IFERROR(N('April-June Unit Cost Ecomomic'!K67),0),0)</f>
        <v>1033</v>
      </c>
      <c r="F72" s="11">
        <f t="shared" si="6"/>
        <v>0.72849083215796895</v>
      </c>
      <c r="G72" s="9">
        <f>ROUND(IFERROR(N('April-June Unit Cost Ecomomic'!N67),0),0)</f>
        <v>407</v>
      </c>
      <c r="H72" s="12">
        <f t="shared" si="7"/>
        <v>31</v>
      </c>
      <c r="I72" s="12">
        <f t="shared" si="8"/>
        <v>31</v>
      </c>
    </row>
    <row r="73" spans="1:9" x14ac:dyDescent="0.35">
      <c r="A73" s="8" t="str">
        <f>'April-June Unit Cost Ecomomic'!B93</f>
        <v>Flip Flap Crayon Play Pack Unicorn &amp; Princesses Themed | Activity Book with Crayons |</v>
      </c>
      <c r="B73" s="9">
        <f>IF(ISNUMBER('April-June Unit Cost Ecomomic'!E93),'April-June Unit Cost Ecomomic'!E93,"n/a")</f>
        <v>998</v>
      </c>
      <c r="C73" s="10">
        <f>IFERROR(N('April-June Unit Cost Ecomomic'!R93),0)</f>
        <v>1</v>
      </c>
      <c r="D73" s="9">
        <f>IFERROR(N('April-June Unit Cost Ecomomic'!D93),0)</f>
        <v>978</v>
      </c>
      <c r="E73" s="9">
        <f>ROUND(IFERROR(N('April-June Unit Cost Ecomomic'!K93),0),0)</f>
        <v>820</v>
      </c>
      <c r="F73" s="11">
        <f t="shared" si="6"/>
        <v>0.83844580777096112</v>
      </c>
      <c r="G73" s="9">
        <f>ROUND(IFERROR(N('April-June Unit Cost Ecomomic'!N93),0),0)</f>
        <v>63</v>
      </c>
      <c r="H73" s="12">
        <f t="shared" si="7"/>
        <v>162</v>
      </c>
      <c r="I73" s="12">
        <f t="shared" si="8"/>
        <v>162</v>
      </c>
    </row>
    <row r="74" spans="1:9" x14ac:dyDescent="0.35">
      <c r="A74" s="8" t="str">
        <f>'April-June Unit Cost Ecomomic'!B71</f>
        <v>Numbers 1-10 Printable Activity Pack</v>
      </c>
      <c r="B74" s="9">
        <f>IF(ISNUMBER('April-June Unit Cost Ecomomic'!E71),'April-June Unit Cost Ecomomic'!E71,"n/a")</f>
        <v>99</v>
      </c>
      <c r="C74" s="10">
        <f>IFERROR(N('April-June Unit Cost Ecomomic'!R71),0)</f>
        <v>8</v>
      </c>
      <c r="D74" s="9">
        <f>IFERROR(N('April-June Unit Cost Ecomomic'!D71),0)</f>
        <v>792</v>
      </c>
      <c r="E74" s="9">
        <f>ROUND(IFERROR(N('April-June Unit Cost Ecomomic'!K71),0),0)</f>
        <v>78</v>
      </c>
      <c r="F74" s="11">
        <f t="shared" si="6"/>
        <v>0.78787878787878785</v>
      </c>
      <c r="G74" s="9">
        <f>ROUND(IFERROR(N('April-June Unit Cost Ecomomic'!N71),0),0)</f>
        <v>0</v>
      </c>
      <c r="H74" s="12">
        <f t="shared" si="7"/>
        <v>-517</v>
      </c>
      <c r="I74" s="12">
        <f t="shared" si="8"/>
        <v>-4136</v>
      </c>
    </row>
    <row r="75" spans="1:9" x14ac:dyDescent="0.35">
      <c r="A75" s="8" t="str">
        <f>'April-June Unit Cost Ecomomic'!B74</f>
        <v>Palette &amp; Brush</v>
      </c>
      <c r="B75" s="9">
        <f>IF(ISNUMBER('April-June Unit Cost Ecomomic'!E74),'April-June Unit Cost Ecomomic'!E74,"n/a")</f>
        <v>299</v>
      </c>
      <c r="C75" s="10">
        <f>IFERROR(N('April-June Unit Cost Ecomomic'!R74),0)</f>
        <v>1</v>
      </c>
      <c r="D75" s="9">
        <f>IFERROR(N('April-June Unit Cost Ecomomic'!D74),0)</f>
        <v>299</v>
      </c>
      <c r="E75" s="9">
        <f>ROUND(IFERROR(N('April-June Unit Cost Ecomomic'!K74),0),0)</f>
        <v>207</v>
      </c>
      <c r="F75" s="11">
        <f t="shared" si="6"/>
        <v>0.69230769230769229</v>
      </c>
      <c r="G75" s="9">
        <f>ROUND(IFERROR(N('April-June Unit Cost Ecomomic'!N74),0),0)</f>
        <v>74</v>
      </c>
      <c r="H75" s="12">
        <f t="shared" si="7"/>
        <v>-462</v>
      </c>
      <c r="I75" s="12">
        <f t="shared" si="8"/>
        <v>-462</v>
      </c>
    </row>
    <row r="77" spans="1:9" x14ac:dyDescent="0.35">
      <c r="A77" s="13" t="s">
        <v>211</v>
      </c>
      <c r="B77" s="13" t="s">
        <v>212</v>
      </c>
      <c r="C77" s="14">
        <f>SUM(C6:C75)</f>
        <v>2646</v>
      </c>
      <c r="D77" s="15">
        <f>SUM(D6:D75)</f>
        <v>2095891.7999999998</v>
      </c>
      <c r="E77" s="15">
        <f>ROUND(IFERROR(SUMPRODUCT(E6:E75,C6:C75)/C77,0),0)</f>
        <v>548</v>
      </c>
      <c r="F77" s="16">
        <f>IFERROR(E77/(D77/C77),0)</f>
        <v>0.69183342384373092</v>
      </c>
      <c r="G77" s="15">
        <f>ROUND(IFERROR(SUMPRODUCT(G6:G75,C6:C75)/C77,0),0)</f>
        <v>140</v>
      </c>
      <c r="H77" s="17">
        <f>ROUND(IFERROR(I77/C77,0),0)</f>
        <v>-187</v>
      </c>
      <c r="I77" s="17">
        <f>SUM(I6:I75)</f>
        <v>-494709</v>
      </c>
    </row>
  </sheetData>
  <conditionalFormatting sqref="H6:I75">
    <cfRule type="cellIs" dxfId="1" priority="2" operator="greaterThan">
      <formula>0</formula>
    </cfRule>
    <cfRule type="cellIs" dxfId="0" priority="3" operator="lessThan">
      <formula>0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Jan-Mar Unit cost Economic</vt:lpstr>
      <vt:lpstr>April-June Unit Cost Ecomomic</vt:lpstr>
      <vt:lpstr>Jan-Mar Summary</vt:lpstr>
      <vt:lpstr>Apr-Jun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Sanjay Roland Sequeira</dc:creator>
  <dc:description/>
  <cp:lastModifiedBy>Sanjay Roland Sequeira</cp:lastModifiedBy>
  <cp:revision>0</cp:revision>
  <dcterms:created xsi:type="dcterms:W3CDTF">2026-07-16T03:58:05Z</dcterms:created>
  <dcterms:modified xsi:type="dcterms:W3CDTF">2026-07-16T05:27:16Z</dcterms:modified>
  <dc:language>en-US</dc:language>
</cp:coreProperties>
</file>